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codeName="ThisWorkbook" defaultThemeVersion="124226"/>
  <xr:revisionPtr revIDLastSave="0" documentId="13_ncr:1_{0543FCBA-3A29-4B6F-8623-4FB4B7C57563}" xr6:coauthVersionLast="47" xr6:coauthVersionMax="47" xr10:uidLastSave="{00000000-0000-0000-0000-000000000000}"/>
  <bookViews>
    <workbookView xWindow="-120" yWindow="-120" windowWidth="24240" windowHeight="13140" activeTab="3" xr2:uid="{00000000-000D-0000-FFFF-FFFF00000000}"/>
  </bookViews>
  <sheets>
    <sheet name="Jan 2026" sheetId="1" r:id="rId1"/>
    <sheet name="Feb 2026" sheetId="5" r:id="rId2"/>
    <sheet name="March 2026" sheetId="6" r:id="rId3"/>
    <sheet name="April 2026" sheetId="7" r:id="rId4"/>
  </sheets>
  <definedNames>
    <definedName name="_xlnm._FilterDatabase" localSheetId="0" hidden="1">'Jan 2026'!$A$10:$AO$59</definedName>
    <definedName name="_Hlk122640495" localSheetId="0">'Jan 2026'!$B$61</definedName>
    <definedName name="_Hlk126512593" localSheetId="0">'Jan 2026'!#REF!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5" i="7" l="1"/>
  <c r="AK11" i="7" l="1"/>
  <c r="F12" i="7"/>
  <c r="F13" i="7"/>
  <c r="F14" i="7"/>
  <c r="AK14" i="7" s="1"/>
  <c r="F15" i="7"/>
  <c r="AK15" i="7" s="1"/>
  <c r="F16" i="7"/>
  <c r="F17" i="7"/>
  <c r="F18" i="7"/>
  <c r="F19" i="7"/>
  <c r="AK19" i="7" s="1"/>
  <c r="F20" i="7"/>
  <c r="F21" i="7"/>
  <c r="F22" i="7"/>
  <c r="F23" i="7"/>
  <c r="AK23" i="7" s="1"/>
  <c r="F24" i="7"/>
  <c r="F25" i="7"/>
  <c r="F26" i="7"/>
  <c r="F27" i="7"/>
  <c r="AK27" i="7" s="1"/>
  <c r="F28" i="7"/>
  <c r="F29" i="7"/>
  <c r="F30" i="7"/>
  <c r="F31" i="7"/>
  <c r="AK31" i="7" s="1"/>
  <c r="F32" i="7"/>
  <c r="F33" i="7"/>
  <c r="F34" i="7"/>
  <c r="F35" i="7"/>
  <c r="AK35" i="7" s="1"/>
  <c r="F36" i="7"/>
  <c r="F37" i="7"/>
  <c r="F38" i="7"/>
  <c r="F39" i="7"/>
  <c r="AK39" i="7" s="1"/>
  <c r="F40" i="7"/>
  <c r="F41" i="7"/>
  <c r="F42" i="7"/>
  <c r="F43" i="7"/>
  <c r="AK43" i="7" s="1"/>
  <c r="F44" i="7"/>
  <c r="F45" i="7"/>
  <c r="F46" i="7"/>
  <c r="AK46" i="7" s="1"/>
  <c r="F47" i="7"/>
  <c r="AK47" i="7" s="1"/>
  <c r="F48" i="7"/>
  <c r="F49" i="7"/>
  <c r="F50" i="7"/>
  <c r="AK50" i="7" s="1"/>
  <c r="F51" i="7"/>
  <c r="AK51" i="7" s="1"/>
  <c r="F52" i="7"/>
  <c r="F53" i="7"/>
  <c r="F54" i="7"/>
  <c r="AK54" i="7" s="1"/>
  <c r="F55" i="7"/>
  <c r="AK55" i="7" s="1"/>
  <c r="F56" i="7"/>
  <c r="F57" i="7"/>
  <c r="F58" i="7"/>
  <c r="F59" i="7"/>
  <c r="AK59" i="7" s="1"/>
  <c r="F11" i="7"/>
  <c r="AK57" i="7"/>
  <c r="AK56" i="7"/>
  <c r="AK53" i="7"/>
  <c r="AK52" i="7"/>
  <c r="AK49" i="7"/>
  <c r="AK48" i="7"/>
  <c r="AK45" i="7"/>
  <c r="AK44" i="7"/>
  <c r="AK42" i="7"/>
  <c r="AK41" i="7"/>
  <c r="AK40" i="7"/>
  <c r="AK38" i="7"/>
  <c r="AK37" i="7"/>
  <c r="AK36" i="7"/>
  <c r="AK34" i="7"/>
  <c r="AK33" i="7"/>
  <c r="AK32" i="7"/>
  <c r="AK30" i="7"/>
  <c r="AK29" i="7"/>
  <c r="AK28" i="7"/>
  <c r="AK26" i="7"/>
  <c r="AK25" i="7"/>
  <c r="AK24" i="7"/>
  <c r="AK22" i="7"/>
  <c r="AK21" i="7"/>
  <c r="AK20" i="7"/>
  <c r="AK18" i="7"/>
  <c r="AK17" i="7"/>
  <c r="AK16" i="7"/>
  <c r="AK13" i="7"/>
  <c r="AK12" i="7"/>
  <c r="AK58" i="7" l="1"/>
  <c r="Q59" i="6" l="1"/>
  <c r="Q58" i="6"/>
  <c r="V18" i="6"/>
  <c r="Q44" i="6"/>
  <c r="L13" i="6"/>
  <c r="L25" i="6" l="1"/>
  <c r="K57" i="6"/>
  <c r="F41" i="1" l="1"/>
  <c r="AC36" i="1"/>
  <c r="AA36" i="1"/>
  <c r="M41" i="1"/>
  <c r="F25" i="1" l="1"/>
  <c r="F12" i="6"/>
  <c r="F15" i="6"/>
  <c r="AL15" i="6" s="1"/>
  <c r="F16" i="6"/>
  <c r="F18" i="6"/>
  <c r="F19" i="6"/>
  <c r="AL19" i="6" s="1"/>
  <c r="F20" i="6"/>
  <c r="F21" i="6"/>
  <c r="F22" i="6"/>
  <c r="F23" i="6"/>
  <c r="AL23" i="6" s="1"/>
  <c r="F24" i="6"/>
  <c r="F26" i="6"/>
  <c r="F27" i="6"/>
  <c r="AL27" i="6" s="1"/>
  <c r="F28" i="6"/>
  <c r="F29" i="6"/>
  <c r="F31" i="6"/>
  <c r="AL31" i="6" s="1"/>
  <c r="F32" i="6"/>
  <c r="F33" i="6"/>
  <c r="F34" i="6"/>
  <c r="F35" i="6"/>
  <c r="AL35" i="6" s="1"/>
  <c r="F37" i="6"/>
  <c r="F38" i="6"/>
  <c r="F39" i="6"/>
  <c r="AL39" i="6" s="1"/>
  <c r="F40" i="6"/>
  <c r="F42" i="6"/>
  <c r="F43" i="6"/>
  <c r="AL43" i="6" s="1"/>
  <c r="F45" i="6"/>
  <c r="F46" i="6"/>
  <c r="F47" i="6"/>
  <c r="AL47" i="6" s="1"/>
  <c r="F48" i="6"/>
  <c r="F49" i="6"/>
  <c r="F50" i="6"/>
  <c r="F51" i="6"/>
  <c r="AL51" i="6" s="1"/>
  <c r="F52" i="6"/>
  <c r="F54" i="6"/>
  <c r="F55" i="6"/>
  <c r="AL55" i="6" s="1"/>
  <c r="F56" i="6"/>
  <c r="F57" i="6"/>
  <c r="F11" i="6"/>
  <c r="AL11" i="6" s="1"/>
  <c r="AL57" i="6"/>
  <c r="AL56" i="6"/>
  <c r="AL54" i="6"/>
  <c r="AL52" i="6"/>
  <c r="AL50" i="6"/>
  <c r="AL49" i="6"/>
  <c r="AL48" i="6"/>
  <c r="AL46" i="6"/>
  <c r="AL45" i="6"/>
  <c r="AL42" i="6"/>
  <c r="AL40" i="6"/>
  <c r="AL38" i="6"/>
  <c r="AL37" i="6"/>
  <c r="AL34" i="6"/>
  <c r="AL33" i="6"/>
  <c r="AL32" i="6"/>
  <c r="AL29" i="6"/>
  <c r="AL28" i="6"/>
  <c r="AL26" i="6"/>
  <c r="AL24" i="6"/>
  <c r="AL22" i="6"/>
  <c r="AL21" i="6"/>
  <c r="AL20" i="6"/>
  <c r="AL18" i="6"/>
  <c r="AL16" i="6"/>
  <c r="AL12" i="6"/>
  <c r="F12" i="5"/>
  <c r="F14" i="5"/>
  <c r="F15" i="5"/>
  <c r="F16" i="5"/>
  <c r="F17" i="5"/>
  <c r="F18" i="5"/>
  <c r="F19" i="5"/>
  <c r="F20" i="5"/>
  <c r="F21" i="5"/>
  <c r="F22" i="5"/>
  <c r="F23" i="5"/>
  <c r="F24" i="5"/>
  <c r="F26" i="5"/>
  <c r="F27" i="5"/>
  <c r="F28" i="5"/>
  <c r="F29" i="5"/>
  <c r="F31" i="5"/>
  <c r="F32" i="5"/>
  <c r="F33" i="5"/>
  <c r="F34" i="5"/>
  <c r="F35" i="5"/>
  <c r="F37" i="5"/>
  <c r="F38" i="5"/>
  <c r="F39" i="5"/>
  <c r="F40" i="5"/>
  <c r="F42" i="5"/>
  <c r="F43" i="5"/>
  <c r="F45" i="5"/>
  <c r="F46" i="5"/>
  <c r="F47" i="5"/>
  <c r="F48" i="5"/>
  <c r="F49" i="5"/>
  <c r="F50" i="5"/>
  <c r="F51" i="5"/>
  <c r="F52" i="5"/>
  <c r="F54" i="5"/>
  <c r="F55" i="5"/>
  <c r="F56" i="5"/>
  <c r="F57" i="5"/>
  <c r="F11" i="5"/>
  <c r="AL12" i="1"/>
  <c r="AL13" i="1"/>
  <c r="F13" i="5" s="1"/>
  <c r="AL14" i="1"/>
  <c r="AL15" i="1"/>
  <c r="AL16" i="1"/>
  <c r="AL17" i="1"/>
  <c r="AL18" i="1"/>
  <c r="AL19" i="1"/>
  <c r="AL20" i="1"/>
  <c r="AL21" i="1"/>
  <c r="AL22" i="1"/>
  <c r="AL23" i="1"/>
  <c r="AL24" i="1"/>
  <c r="AL25" i="1"/>
  <c r="F25" i="5" s="1"/>
  <c r="AL26" i="1"/>
  <c r="AL27" i="1"/>
  <c r="AL28" i="1"/>
  <c r="AL29" i="1"/>
  <c r="AL30" i="1"/>
  <c r="F30" i="5" s="1"/>
  <c r="AL31" i="1"/>
  <c r="AL32" i="1"/>
  <c r="AL33" i="1"/>
  <c r="AL34" i="1"/>
  <c r="AL35" i="1"/>
  <c r="AL36" i="1"/>
  <c r="F36" i="5" s="1"/>
  <c r="AL37" i="1"/>
  <c r="AL38" i="1"/>
  <c r="AL39" i="1"/>
  <c r="AL40" i="1"/>
  <c r="AL41" i="1"/>
  <c r="F41" i="5" s="1"/>
  <c r="AL42" i="1"/>
  <c r="AL43" i="1"/>
  <c r="AL44" i="1"/>
  <c r="F44" i="5" s="1"/>
  <c r="AL45" i="1"/>
  <c r="AL46" i="1"/>
  <c r="AL47" i="1"/>
  <c r="AL48" i="1"/>
  <c r="AL49" i="1"/>
  <c r="AL50" i="1"/>
  <c r="AL51" i="1"/>
  <c r="AL52" i="1"/>
  <c r="AL53" i="1"/>
  <c r="F53" i="5" s="1"/>
  <c r="AL54" i="1"/>
  <c r="AL55" i="1"/>
  <c r="AL56" i="1"/>
  <c r="AL57" i="1"/>
  <c r="AL58" i="1"/>
  <c r="F58" i="5" s="1"/>
  <c r="AL59" i="1"/>
  <c r="F59" i="5" s="1"/>
  <c r="AL11" i="1"/>
  <c r="AB36" i="1"/>
  <c r="AB44" i="1"/>
  <c r="AC44" i="1"/>
  <c r="AA57" i="5"/>
  <c r="Y49" i="5"/>
  <c r="X36" i="5"/>
  <c r="AG49" i="5"/>
  <c r="Y41" i="5"/>
  <c r="W49" i="5"/>
  <c r="W41" i="5"/>
  <c r="S25" i="5"/>
  <c r="Z57" i="5" l="1"/>
  <c r="J13" i="5"/>
  <c r="J41" i="5"/>
  <c r="J25" i="5"/>
  <c r="J57" i="5"/>
  <c r="H41" i="5"/>
  <c r="H13" i="5"/>
  <c r="AI13" i="5" s="1"/>
  <c r="F13" i="6" s="1"/>
  <c r="AL13" i="6" s="1"/>
  <c r="AI60" i="5"/>
  <c r="AI23" i="5"/>
  <c r="AI24" i="5"/>
  <c r="AI25" i="5"/>
  <c r="F25" i="6" s="1"/>
  <c r="AL25" i="6" s="1"/>
  <c r="AI26" i="5"/>
  <c r="AI27" i="5"/>
  <c r="AI28" i="5"/>
  <c r="AI29" i="5"/>
  <c r="AI30" i="5"/>
  <c r="F30" i="6" s="1"/>
  <c r="AL30" i="6" s="1"/>
  <c r="AI31" i="5"/>
  <c r="AI32" i="5"/>
  <c r="AI33" i="5"/>
  <c r="AI34" i="5"/>
  <c r="AI35" i="5"/>
  <c r="AI36" i="5"/>
  <c r="F36" i="6" s="1"/>
  <c r="AL36" i="6" s="1"/>
  <c r="AI37" i="5"/>
  <c r="AI38" i="5"/>
  <c r="AI39" i="5"/>
  <c r="AI40" i="5"/>
  <c r="AI41" i="5"/>
  <c r="F41" i="6" s="1"/>
  <c r="AL41" i="6" s="1"/>
  <c r="AI42" i="5"/>
  <c r="AI43" i="5"/>
  <c r="AI44" i="5"/>
  <c r="F44" i="6" s="1"/>
  <c r="AL44" i="6" s="1"/>
  <c r="AI45" i="5"/>
  <c r="AI46" i="5"/>
  <c r="AI47" i="5"/>
  <c r="AI48" i="5"/>
  <c r="AI49" i="5"/>
  <c r="AI50" i="5"/>
  <c r="AI51" i="5"/>
  <c r="AI52" i="5"/>
  <c r="AI53" i="5"/>
  <c r="F53" i="6" s="1"/>
  <c r="AL53" i="6" s="1"/>
  <c r="AI54" i="5"/>
  <c r="AI55" i="5"/>
  <c r="AI56" i="5"/>
  <c r="AI57" i="5"/>
  <c r="AI58" i="5"/>
  <c r="F58" i="6" s="1"/>
  <c r="AL58" i="6" s="1"/>
  <c r="AI59" i="5"/>
  <c r="F59" i="6" s="1"/>
  <c r="AL59" i="6" s="1"/>
  <c r="AI22" i="5"/>
  <c r="AI21" i="5"/>
  <c r="AI20" i="5"/>
  <c r="AI19" i="5"/>
  <c r="AI18" i="5"/>
  <c r="AI17" i="5"/>
  <c r="F17" i="6" s="1"/>
  <c r="AL17" i="6" s="1"/>
  <c r="AI16" i="5"/>
  <c r="AI15" i="5"/>
  <c r="AI14" i="5"/>
  <c r="F14" i="6" s="1"/>
  <c r="AL14" i="6" s="1"/>
  <c r="AI12" i="5"/>
  <c r="AI11" i="5"/>
  <c r="AJ25" i="1"/>
  <c r="AJ13" i="1"/>
  <c r="AJ41" i="1"/>
  <c r="AI13" i="1"/>
  <c r="AI41" i="1"/>
  <c r="AC25" i="1"/>
  <c r="AB25" i="1"/>
  <c r="W18" i="1"/>
  <c r="W59" i="1"/>
  <c r="W58" i="1"/>
  <c r="S25" i="1"/>
  <c r="O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FFFE1B98-EF52-4F96-A72E-18ED636A084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M32" authorId="0" shapeId="0" xr:uid="{18422518-B039-4E45-BDAC-704CF421AC7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Blue Star Metacraft         Inv -           7-Jan-26</t>
        </r>
      </text>
    </comment>
    <comment ref="AB36" authorId="0" shapeId="0" xr:uid="{7CC7C80B-98BB-4166-B08E-1DDD3634814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Antek Engineering Works   Inv-AEW/25-26/1401 Dt-22-Jan-26</t>
        </r>
      </text>
    </comment>
    <comment ref="N41" authorId="0" shapeId="0" xr:uid="{8DC745A0-76EF-4897-A088-7EB7948818B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Ramdev Electricals &amp; Electronics                        Inv-6760 Dt.9-Jan-26</t>
        </r>
      </text>
    </comment>
    <comment ref="AG41" authorId="0" shapeId="0" xr:uid="{032B6AFA-C38E-4C5D-9087-51159CC64C0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Ramdev Electricals &amp; Electronics                        Inv-6804  Dt.29-Jan-26</t>
        </r>
      </text>
    </comment>
    <comment ref="AB44" authorId="0" shapeId="0" xr:uid="{7E475180-4C75-4842-A821-D4C953FF6FE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Antek Engineering Works   Inv-AEW/25-26/1401 &amp; 1418 
Dt-22-Jan-26</t>
        </r>
      </text>
    </comment>
    <comment ref="Z58" authorId="0" shapeId="0" xr:uid="{721739EA-41D2-4C37-A9F7-B387120DF4B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Lakshmi Electronics     Inv-2327  Dt-21-Jan-26</t>
        </r>
      </text>
    </comment>
    <comment ref="AK58" authorId="0" shapeId="0" xr:uid="{F8A74768-6DD5-4635-A233-77769643EEE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Lakshmi Electronics       Inv-2412  Dt-31-jan-26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875D4CA3-FC9B-40CC-A4C9-0F9A05FF62F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X42" authorId="0" shapeId="0" xr:uid="{D1B3C646-A0CD-42BA-AC26-F7B13B939BB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Shree Lakshmi Electrical   Inv -SLE/25-26/778  dt.19-Feb-26</t>
        </r>
      </text>
    </comment>
    <comment ref="I48" authorId="0" shapeId="0" xr:uid="{8CB2B407-5743-472F-91BE-F7A98C2F9C8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Ramdev Enterprises              Inv-6814  Dt.3-Feb-26</t>
        </r>
      </text>
    </comment>
    <comment ref="N49" authorId="0" shapeId="0" xr:uid="{BEF9BCFA-7606-47A5-A25A-403F7B52DAD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Myka Tools                       Inv - 399 Dt.10-2-26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31B11B78-4DD6-44C7-9C52-2B017342E55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K13" authorId="0" shapeId="0" xr:uid="{C71D69DC-6115-49D6-ACFF-03797578AE34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Visat Tools Pvt. Ltd.          Inv-256  Dt.5-Mar-26</t>
        </r>
      </text>
    </comment>
    <comment ref="P18" authorId="0" shapeId="0" xr:uid="{6391E07F-F8B3-45AA-A1F9-ECAFC547536B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Blue Star Metacraft              Inv-BSM/25-26/837 Dt.9-mar-26</t>
        </r>
      </text>
    </comment>
    <comment ref="K25" authorId="0" shapeId="0" xr:uid="{E9668C47-1351-49BD-97D0-3360308E48A8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Visat Tools Pvt. Ltd.          Inv-255  Dt.5-Mar-26</t>
        </r>
      </text>
    </comment>
    <comment ref="V41" authorId="0" shapeId="0" xr:uid="{DF92B08F-E5AE-40E0-A1CA-D7AC5EAFAAC8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Material Returned to Store From Vasavi &amp; Belenus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5BA7C791-7D86-4892-9B7F-7555560411B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</commentList>
</comments>
</file>

<file path=xl/sharedStrings.xml><?xml version="1.0" encoding="utf-8"?>
<sst xmlns="http://schemas.openxmlformats.org/spreadsheetml/2006/main" count="622" uniqueCount="135">
  <si>
    <t>FORMS AND FORMATS</t>
  </si>
  <si>
    <r>
      <rPr>
        <b/>
        <sz val="11"/>
        <color theme="1"/>
        <rFont val="Times New Roman"/>
        <family val="1"/>
      </rPr>
      <t>Title</t>
    </r>
    <r>
      <rPr>
        <b/>
        <sz val="12"/>
        <color theme="1"/>
        <rFont val="Times New Roman"/>
        <family val="1"/>
      </rPr>
      <t>:</t>
    </r>
    <r>
      <rPr>
        <sz val="11"/>
        <color theme="1"/>
        <rFont val="Times New Roman"/>
        <family val="1"/>
      </rPr>
      <t xml:space="preserve"> Stock Sheet</t>
    </r>
  </si>
  <si>
    <t>Department</t>
  </si>
  <si>
    <t>STORES</t>
  </si>
  <si>
    <t>Version No.</t>
  </si>
  <si>
    <t>Issued Date</t>
  </si>
  <si>
    <t>DOC. No.</t>
  </si>
  <si>
    <t>FM/STR/001</t>
  </si>
  <si>
    <t>Supersedes</t>
  </si>
  <si>
    <t>NIL</t>
  </si>
  <si>
    <t>Next Review Date</t>
  </si>
  <si>
    <t>Effective date</t>
  </si>
  <si>
    <t>Type of Goods</t>
  </si>
  <si>
    <t>Storage Location</t>
  </si>
  <si>
    <t>Part Number</t>
  </si>
  <si>
    <t>Product Name</t>
  </si>
  <si>
    <t>Rate</t>
  </si>
  <si>
    <t>Unit</t>
  </si>
  <si>
    <t>Minimum Stock</t>
  </si>
  <si>
    <t>Re order level</t>
  </si>
  <si>
    <t>Maximum Stock</t>
  </si>
  <si>
    <t>Functions</t>
  </si>
  <si>
    <t>Prepared By</t>
  </si>
  <si>
    <t>Reviewed By</t>
  </si>
  <si>
    <t>Approved By</t>
  </si>
  <si>
    <t>Name</t>
  </si>
  <si>
    <t>Designation</t>
  </si>
  <si>
    <t>Date</t>
  </si>
  <si>
    <t xml:space="preserve">Sign </t>
  </si>
  <si>
    <t>Teller Technologies Private Limited</t>
  </si>
  <si>
    <t>2nd Floor, No.1 7th Cross, 2nd Block TC Palya Main Road CSB Bank ATM Akshaya Nagar  Ramamurthi Nagar Bangalore-560016</t>
  </si>
  <si>
    <t>ENC-0250020</t>
  </si>
  <si>
    <t>Enclosure - 3.1 Bed Switch with Magnet  &amp; Slit(ABS)</t>
  </si>
  <si>
    <t>ENC-0250021</t>
  </si>
  <si>
    <t>Enclosure - 3.1 BS / TS without Magnet With Silt  (ABS)</t>
  </si>
  <si>
    <t>ENC-0250023</t>
  </si>
  <si>
    <t>Enclosure - 3.1 Handheld - Top &amp; Bottom (ABS)</t>
  </si>
  <si>
    <t>ENC-0250024</t>
  </si>
  <si>
    <t>Enclosure - 3.1 Handheld (Metal)</t>
  </si>
  <si>
    <t>ENC-0250025</t>
  </si>
  <si>
    <t>Enclosure - 3.1 Door Indicator-RGB Without Slit</t>
  </si>
  <si>
    <t>ENC-0250026</t>
  </si>
  <si>
    <t>Enclosure - Door Indicator (Metal Mysore) BEIGE</t>
  </si>
  <si>
    <t>ENC-0250027</t>
  </si>
  <si>
    <t>Enclosure - Door Indicator (Metal Sparsh)</t>
  </si>
  <si>
    <t>ENC-0250030</t>
  </si>
  <si>
    <t>TellerX Enclosure - Metal Box</t>
  </si>
  <si>
    <t>ENC-0250034</t>
  </si>
  <si>
    <t>Waterproof Enclosure Box (IP-65-01 J 100x100x60)</t>
  </si>
  <si>
    <t>DI 3.0</t>
  </si>
  <si>
    <t xml:space="preserve">3.0 Door Indicator - Fully Assembled with 3.0 Enclosure </t>
  </si>
  <si>
    <t>TS 3.0</t>
  </si>
  <si>
    <t>3.0 Toilet Switch - Fully Assembled with 3.0 Enclosure</t>
  </si>
  <si>
    <t>ENC-0250035</t>
  </si>
  <si>
    <t>Enclosure - 3.0 Printed T050</t>
  </si>
  <si>
    <t>ENC-0250036</t>
  </si>
  <si>
    <t>Enclosure - 3.0 Printed DV000</t>
  </si>
  <si>
    <t>ENC-0250039</t>
  </si>
  <si>
    <t>Enclosure - 3.1 Door Indicator-RGB  (Printed) Without Slit</t>
  </si>
  <si>
    <t>ENC-0250041</t>
  </si>
  <si>
    <t>Enclosure - 3.1 TS / DI without Magnet &amp; Slit (Diffuser)</t>
  </si>
  <si>
    <t>ENC-0250042</t>
  </si>
  <si>
    <t>Enclosure - 3.1 TS / DI without Magnet &amp; Slit (ABS)</t>
  </si>
  <si>
    <t>ENC-0250043</t>
  </si>
  <si>
    <t>Enclosure - 3.1 Door Indicator-RGB  With Slit</t>
  </si>
  <si>
    <t>ENC-0250044</t>
  </si>
  <si>
    <t>Enclosure - 3.1 Door Indicator-RGB  (Printed) With Slit</t>
  </si>
  <si>
    <t>ENC-0250048</t>
  </si>
  <si>
    <t>Enclosure - 3.1 Bed Switch with Magnet W/O Slit (ABS)</t>
  </si>
  <si>
    <t>ENC-0250050</t>
  </si>
  <si>
    <t xml:space="preserve">Enclosure For Raspberry Pi 0 </t>
  </si>
  <si>
    <t>ENC-0250051</t>
  </si>
  <si>
    <t>Enclosure - 6 Port Hub Printed</t>
  </si>
  <si>
    <t>ENC-0250052</t>
  </si>
  <si>
    <t>Enclosure - 8 Port Hub Printed</t>
  </si>
  <si>
    <t>ENC-0255001</t>
  </si>
  <si>
    <t>TellerX - SA w/o Top Plate, Power Cord, RPi 3B+ &amp; MC</t>
  </si>
  <si>
    <t>ENC-0255002</t>
  </si>
  <si>
    <t>TellerX - SA w/o Top Plate, Power Cord &amp; MC</t>
  </si>
  <si>
    <t>TXS001</t>
  </si>
  <si>
    <t>TellerX - Fully Assembled with Raspberry Pi 3B+</t>
  </si>
  <si>
    <t>ENC-0250002</t>
  </si>
  <si>
    <t xml:space="preserve">2 Model Acrylic Back Plate </t>
  </si>
  <si>
    <t>ENC-0250004</t>
  </si>
  <si>
    <t>3 Model Top Plate</t>
  </si>
  <si>
    <t>ENC-0250005</t>
  </si>
  <si>
    <t>3 model Acrylic Back Plate for 3.0</t>
  </si>
  <si>
    <t>ENC-0250006</t>
  </si>
  <si>
    <t xml:space="preserve">4 Model Acrylic Back Plate </t>
  </si>
  <si>
    <t>ENC-0250008</t>
  </si>
  <si>
    <t>4 Model Top Plate - Black - NH</t>
  </si>
  <si>
    <t>ENC-0250009</t>
  </si>
  <si>
    <t>4 Model Top Plate - Casaviva White</t>
  </si>
  <si>
    <t>ENC-0250011</t>
  </si>
  <si>
    <t>6 Model Top Plate</t>
  </si>
  <si>
    <t>ENC-0250012</t>
  </si>
  <si>
    <t xml:space="preserve">6 Model Acrylic Back Plate </t>
  </si>
  <si>
    <t>ENC-0250029</t>
  </si>
  <si>
    <t>TellerX Top Plate</t>
  </si>
  <si>
    <t>ENC-0250037</t>
  </si>
  <si>
    <t>OPD Que Top Plate - 4 Switch</t>
  </si>
  <si>
    <t>ENC-0255003</t>
  </si>
  <si>
    <t>ENC SA - 1.1 BS 4Model CP12H/E12 W/o Top Plate &amp; PCB SA</t>
  </si>
  <si>
    <t>ENC-0250049</t>
  </si>
  <si>
    <t>Acrylic Side Plate - 3MM</t>
  </si>
  <si>
    <t>2 Model Top Plate</t>
  </si>
  <si>
    <t>ENC-0250001</t>
  </si>
  <si>
    <t>1.1 Switch Holder - NCS</t>
  </si>
  <si>
    <t>ENC-0250003</t>
  </si>
  <si>
    <t>3 Model Bottom Box</t>
  </si>
  <si>
    <t>ENC-0250007</t>
  </si>
  <si>
    <t>4 Model Bottom Box</t>
  </si>
  <si>
    <t>ENC-0250010</t>
  </si>
  <si>
    <t>6 Model Bottom Box</t>
  </si>
  <si>
    <t>2 Model Bottom Box</t>
  </si>
  <si>
    <t>ENC-0250038</t>
  </si>
  <si>
    <t>Acrylic Diffuser Sheet - 3MM</t>
  </si>
  <si>
    <t>ENC-0250014</t>
  </si>
  <si>
    <t>Diffuser Sheet - 1.5mm</t>
  </si>
  <si>
    <t>ENC-0250015</t>
  </si>
  <si>
    <t>Diffuser Sheet - 1.5mm (Sparsh)</t>
  </si>
  <si>
    <t>ENC-0250028</t>
  </si>
  <si>
    <t>Handle - Toilet Switch</t>
  </si>
  <si>
    <t>ENC-0250031</t>
  </si>
  <si>
    <t>TellerX Knob / Holder</t>
  </si>
  <si>
    <t>ENC-0250032</t>
  </si>
  <si>
    <t>TellerX LED Holder 3mm</t>
  </si>
  <si>
    <t>F5</t>
  </si>
  <si>
    <t>F6</t>
  </si>
  <si>
    <t>F7</t>
  </si>
  <si>
    <t>E6</t>
  </si>
  <si>
    <t>E7</t>
  </si>
  <si>
    <t>Opening Stock</t>
  </si>
  <si>
    <t>Closing Stock</t>
  </si>
  <si>
    <t>On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</si>
</sst>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Times New Roman"/>
      <family val="1"/>
    </font>
    <font>
      <sz val="11"/>
      <color rgb="FF000000"/>
      <name val="Calibri"/>
      <family val="2"/>
      <scheme val="minor"/>
    </font>
    <font>
      <b/>
      <sz val="10"/>
      <color rgb="FF0000FF"/>
      <name val="Times New Roman"/>
      <family val="1"/>
    </font>
    <font>
      <b/>
      <sz val="11"/>
      <color rgb="FF0000FF"/>
      <name val="Calibri"/>
      <family val="2"/>
      <scheme val="minor"/>
    </font>
    <font>
      <b/>
      <sz val="9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4" fillId="2" borderId="5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0" fontId="0" fillId="0" borderId="1" xfId="0" applyBorder="1"/>
    <xf numFmtId="1" fontId="13" fillId="0" borderId="1" xfId="0" applyNumberFormat="1" applyFont="1" applyBorder="1" applyAlignment="1">
      <alignment horizontal="center" wrapText="1"/>
    </xf>
    <xf numFmtId="14" fontId="2" fillId="0" borderId="1" xfId="0" applyNumberFormat="1" applyFont="1" applyBorder="1"/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4" fillId="2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14" fillId="0" borderId="1" xfId="0" applyFont="1" applyBorder="1" applyAlignment="1">
      <alignment vertical="top"/>
    </xf>
    <xf numFmtId="0" fontId="5" fillId="2" borderId="16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14" fontId="5" fillId="0" borderId="16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14" fillId="0" borderId="0" xfId="0" applyFont="1" applyAlignment="1">
      <alignment vertical="top"/>
    </xf>
    <xf numFmtId="0" fontId="0" fillId="0" borderId="1" xfId="0" applyBorder="1" applyAlignment="1">
      <alignment horizontal="center"/>
    </xf>
    <xf numFmtId="0" fontId="14" fillId="0" borderId="12" xfId="0" applyFont="1" applyBorder="1" applyAlignment="1">
      <alignment vertical="top"/>
    </xf>
    <xf numFmtId="0" fontId="14" fillId="3" borderId="12" xfId="0" applyFont="1" applyFill="1" applyBorder="1" applyAlignment="1">
      <alignment vertical="top"/>
    </xf>
    <xf numFmtId="1" fontId="3" fillId="0" borderId="14" xfId="0" applyNumberFormat="1" applyFont="1" applyBorder="1" applyAlignment="1">
      <alignment horizontal="center" wrapText="1"/>
    </xf>
    <xf numFmtId="0" fontId="4" fillId="2" borderId="21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14" fontId="17" fillId="0" borderId="1" xfId="0" applyNumberFormat="1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1" fontId="13" fillId="4" borderId="14" xfId="0" applyNumberFormat="1" applyFont="1" applyFill="1" applyBorder="1" applyAlignment="1">
      <alignment horizontal="center" wrapText="1"/>
    </xf>
    <xf numFmtId="1" fontId="18" fillId="0" borderId="1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right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vertical="center" wrapText="1"/>
    </xf>
    <xf numFmtId="0" fontId="5" fillId="2" borderId="2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5" fillId="0" borderId="20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0000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67"/>
  <sheetViews>
    <sheetView workbookViewId="0">
      <pane xSplit="3" ySplit="10" topLeftCell="D34" activePane="bottomRight" state="frozen"/>
      <selection pane="topRight" activeCell="D1" sqref="D1"/>
      <selection pane="bottomLeft" activeCell="A11" sqref="A11"/>
      <selection pane="bottomRight" activeCell="R32" sqref="R32"/>
    </sheetView>
  </sheetViews>
  <sheetFormatPr defaultColWidth="16.85546875" defaultRowHeight="12.75" customHeight="1" x14ac:dyDescent="0.2"/>
  <cols>
    <col min="1" max="1" width="8.85546875" style="1" customWidth="1"/>
    <col min="2" max="2" width="16.85546875" style="2"/>
    <col min="3" max="3" width="54.28515625" style="2" bestFit="1" customWidth="1"/>
    <col min="4" max="4" width="9" style="2" customWidth="1"/>
    <col min="5" max="5" width="9.85546875" style="1" customWidth="1"/>
    <col min="6" max="6" width="9.42578125" style="1" customWidth="1"/>
    <col min="7" max="8" width="8.85546875" style="1" customWidth="1"/>
    <col min="9" max="11" width="9" style="1" bestFit="1" customWidth="1"/>
    <col min="12" max="12" width="9.28515625" style="1" customWidth="1"/>
    <col min="13" max="13" width="9.42578125" style="1" customWidth="1"/>
    <col min="14" max="14" width="10.42578125" style="1" customWidth="1"/>
    <col min="15" max="15" width="9" style="1" customWidth="1"/>
    <col min="16" max="16" width="9.42578125" style="1" customWidth="1"/>
    <col min="17" max="17" width="9" style="1" bestFit="1" customWidth="1"/>
    <col min="18" max="18" width="9.42578125" style="1" customWidth="1"/>
    <col min="19" max="19" width="9.5703125" style="1" customWidth="1"/>
    <col min="20" max="20" width="9.28515625" style="1" customWidth="1"/>
    <col min="21" max="21" width="9.5703125" style="1" customWidth="1"/>
    <col min="22" max="22" width="9" style="1" customWidth="1"/>
    <col min="23" max="23" width="9.28515625" style="1" customWidth="1"/>
    <col min="24" max="25" width="9" style="1" bestFit="1" customWidth="1"/>
    <col min="26" max="26" width="8.7109375" style="1" customWidth="1"/>
    <col min="27" max="28" width="9" style="1" bestFit="1" customWidth="1"/>
    <col min="29" max="29" width="9" style="1" customWidth="1"/>
    <col min="30" max="30" width="9" style="1" bestFit="1" customWidth="1"/>
    <col min="31" max="31" width="9.85546875" style="1" customWidth="1"/>
    <col min="32" max="32" width="9.42578125" style="1" customWidth="1"/>
    <col min="33" max="33" width="9.85546875" style="1" customWidth="1"/>
    <col min="34" max="34" width="10.42578125" style="1" customWidth="1"/>
    <col min="35" max="35" width="9.7109375" style="1" customWidth="1"/>
    <col min="36" max="36" width="8.85546875" style="1" customWidth="1"/>
    <col min="37" max="37" width="9.42578125" style="1" customWidth="1"/>
    <col min="38" max="38" width="9.28515625" style="1" customWidth="1"/>
    <col min="39" max="16384" width="16.85546875" style="1"/>
  </cols>
  <sheetData>
    <row r="1" spans="1:43" customFormat="1" ht="23.45" customHeight="1" x14ac:dyDescent="0.25">
      <c r="E1" s="42" t="s">
        <v>29</v>
      </c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</row>
    <row r="2" spans="1:43" customFormat="1" ht="15" x14ac:dyDescent="0.25">
      <c r="E2" s="43" t="s">
        <v>30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5"/>
    </row>
    <row r="3" spans="1:43" customFormat="1" ht="15.75" x14ac:dyDescent="0.25">
      <c r="E3" s="46" t="s">
        <v>0</v>
      </c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</row>
    <row r="4" spans="1:43" customFormat="1" ht="15" x14ac:dyDescent="0.25">
      <c r="E4" s="47" t="s">
        <v>1</v>
      </c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</row>
    <row r="5" spans="1:43" customFormat="1" ht="15.75" x14ac:dyDescent="0.25">
      <c r="E5" s="48" t="s">
        <v>2</v>
      </c>
      <c r="F5" s="48"/>
      <c r="G5" s="48"/>
      <c r="H5" s="49" t="s">
        <v>3</v>
      </c>
      <c r="I5" s="50"/>
      <c r="J5" s="51"/>
      <c r="K5" s="52" t="s">
        <v>4</v>
      </c>
      <c r="L5" s="52"/>
      <c r="M5" s="11">
        <v>0</v>
      </c>
      <c r="N5" s="53" t="s">
        <v>5</v>
      </c>
      <c r="O5" s="53"/>
      <c r="P5" s="54"/>
      <c r="Q5" s="55"/>
    </row>
    <row r="6" spans="1:43" customFormat="1" ht="15.75" x14ac:dyDescent="0.25">
      <c r="E6" s="48" t="s">
        <v>6</v>
      </c>
      <c r="F6" s="48"/>
      <c r="G6" s="48"/>
      <c r="H6" s="56" t="s">
        <v>7</v>
      </c>
      <c r="I6" s="56"/>
      <c r="J6" s="56"/>
      <c r="K6" s="52" t="s">
        <v>8</v>
      </c>
      <c r="L6" s="52"/>
      <c r="M6" s="57" t="s">
        <v>9</v>
      </c>
      <c r="N6" s="57"/>
      <c r="O6" s="57"/>
      <c r="P6" s="57"/>
      <c r="Q6" s="57"/>
    </row>
    <row r="7" spans="1:43" customFormat="1" ht="15.75" x14ac:dyDescent="0.25">
      <c r="E7" s="52" t="s">
        <v>10</v>
      </c>
      <c r="F7" s="52"/>
      <c r="G7" s="52"/>
      <c r="H7" s="58"/>
      <c r="I7" s="58"/>
      <c r="J7" s="58"/>
      <c r="K7" s="52" t="s">
        <v>11</v>
      </c>
      <c r="L7" s="52"/>
      <c r="M7" s="57"/>
      <c r="N7" s="57"/>
      <c r="O7" s="57"/>
      <c r="P7" s="57"/>
      <c r="Q7" s="57"/>
    </row>
    <row r="8" spans="1:43" customFormat="1" ht="15" x14ac:dyDescent="0.25"/>
    <row r="9" spans="1:43" customFormat="1" ht="15" x14ac:dyDescent="0.25">
      <c r="A9" t="s">
        <v>12</v>
      </c>
    </row>
    <row r="10" spans="1:43" customFormat="1" ht="26.25" x14ac:dyDescent="0.25">
      <c r="A10" s="24" t="s">
        <v>13</v>
      </c>
      <c r="B10" s="4" t="s">
        <v>14</v>
      </c>
      <c r="C10" s="4" t="s">
        <v>15</v>
      </c>
      <c r="D10" s="4" t="s">
        <v>16</v>
      </c>
      <c r="E10" s="5" t="s">
        <v>17</v>
      </c>
      <c r="F10" s="12" t="s">
        <v>132</v>
      </c>
      <c r="G10" s="36">
        <v>46023</v>
      </c>
      <c r="H10" s="36">
        <v>46024</v>
      </c>
      <c r="I10" s="36">
        <v>46025</v>
      </c>
      <c r="J10" s="36">
        <v>46026</v>
      </c>
      <c r="K10" s="36">
        <v>46027</v>
      </c>
      <c r="L10" s="36">
        <v>46028</v>
      </c>
      <c r="M10" s="36">
        <v>46029</v>
      </c>
      <c r="N10" s="36">
        <v>46030</v>
      </c>
      <c r="O10" s="36">
        <v>46031</v>
      </c>
      <c r="P10" s="36">
        <v>46032</v>
      </c>
      <c r="Q10" s="36">
        <v>46033</v>
      </c>
      <c r="R10" s="36">
        <v>46034</v>
      </c>
      <c r="S10" s="36">
        <v>46035</v>
      </c>
      <c r="T10" s="36">
        <v>46036</v>
      </c>
      <c r="U10" s="36">
        <v>46037</v>
      </c>
      <c r="V10" s="36">
        <v>46038</v>
      </c>
      <c r="W10" s="36">
        <v>46039</v>
      </c>
      <c r="X10" s="36">
        <v>46040</v>
      </c>
      <c r="Y10" s="36">
        <v>46041</v>
      </c>
      <c r="Z10" s="36">
        <v>46042</v>
      </c>
      <c r="AA10" s="36">
        <v>46043</v>
      </c>
      <c r="AB10" s="36">
        <v>46044</v>
      </c>
      <c r="AC10" s="36">
        <v>46045</v>
      </c>
      <c r="AD10" s="36">
        <v>46046</v>
      </c>
      <c r="AE10" s="36">
        <v>46047</v>
      </c>
      <c r="AF10" s="36">
        <v>46048</v>
      </c>
      <c r="AG10" s="36">
        <v>46049</v>
      </c>
      <c r="AH10" s="36">
        <v>46050</v>
      </c>
      <c r="AI10" s="36">
        <v>46051</v>
      </c>
      <c r="AJ10" s="36">
        <v>46052</v>
      </c>
      <c r="AK10" s="36">
        <v>46053</v>
      </c>
      <c r="AL10" s="12" t="s">
        <v>133</v>
      </c>
      <c r="AM10" s="3" t="s">
        <v>18</v>
      </c>
      <c r="AN10" s="3" t="s">
        <v>19</v>
      </c>
      <c r="AO10" s="3" t="s">
        <v>20</v>
      </c>
      <c r="AP10" s="14"/>
      <c r="AQ10" s="15"/>
    </row>
    <row r="11" spans="1:43" customFormat="1" ht="15" x14ac:dyDescent="0.25">
      <c r="A11" t="s">
        <v>127</v>
      </c>
      <c r="B11" s="20" t="s">
        <v>31</v>
      </c>
      <c r="C11" s="27" t="s">
        <v>32</v>
      </c>
      <c r="D11" s="11"/>
      <c r="E11" s="11"/>
      <c r="F11" s="39">
        <v>241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40">
        <f>F11+SUM(G11:AK11)</f>
        <v>241</v>
      </c>
    </row>
    <row r="12" spans="1:43" customFormat="1" ht="15" x14ac:dyDescent="0.25">
      <c r="A12" t="s">
        <v>128</v>
      </c>
      <c r="B12" s="20" t="s">
        <v>33</v>
      </c>
      <c r="C12" s="27" t="s">
        <v>34</v>
      </c>
      <c r="D12" s="11"/>
      <c r="E12" s="11"/>
      <c r="F12" s="39">
        <v>466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40">
        <f t="shared" ref="AL12:AL59" si="0">F12+SUM(G12:AK12)</f>
        <v>466</v>
      </c>
    </row>
    <row r="13" spans="1:43" customFormat="1" ht="15" x14ac:dyDescent="0.25">
      <c r="A13" t="s">
        <v>129</v>
      </c>
      <c r="B13" s="20" t="s">
        <v>35</v>
      </c>
      <c r="C13" s="27" t="s">
        <v>36</v>
      </c>
      <c r="D13" s="11"/>
      <c r="E13" s="11"/>
      <c r="F13" s="39">
        <v>760</v>
      </c>
      <c r="G13" s="26"/>
      <c r="H13" s="26"/>
      <c r="I13" s="26">
        <v>-80</v>
      </c>
      <c r="J13" s="26">
        <v>-21</v>
      </c>
      <c r="K13" s="26"/>
      <c r="L13" s="26">
        <v>-29</v>
      </c>
      <c r="M13" s="26"/>
      <c r="N13" s="26">
        <v>-45</v>
      </c>
      <c r="O13" s="26">
        <v>-4</v>
      </c>
      <c r="P13" s="26"/>
      <c r="Q13" s="26"/>
      <c r="R13" s="26">
        <v>-51</v>
      </c>
      <c r="S13" s="26"/>
      <c r="T13" s="26"/>
      <c r="U13" s="26"/>
      <c r="V13" s="26"/>
      <c r="W13" s="26"/>
      <c r="X13" s="26"/>
      <c r="Y13" s="26">
        <v>-20</v>
      </c>
      <c r="Z13" s="26"/>
      <c r="AA13" s="26">
        <v>-3</v>
      </c>
      <c r="AB13" s="26"/>
      <c r="AC13" s="26">
        <v>-20</v>
      </c>
      <c r="AD13" s="26"/>
      <c r="AE13" s="26"/>
      <c r="AF13" s="26"/>
      <c r="AG13" s="26"/>
      <c r="AH13" s="26">
        <v>-11</v>
      </c>
      <c r="AI13" s="26">
        <f>-56+-6</f>
        <v>-62</v>
      </c>
      <c r="AJ13" s="26">
        <f>-69+-7</f>
        <v>-76</v>
      </c>
      <c r="AK13" s="26"/>
      <c r="AL13" s="40">
        <f t="shared" si="0"/>
        <v>338</v>
      </c>
    </row>
    <row r="14" spans="1:43" customFormat="1" ht="15" x14ac:dyDescent="0.25">
      <c r="B14" s="20" t="s">
        <v>37</v>
      </c>
      <c r="C14" s="27" t="s">
        <v>38</v>
      </c>
      <c r="D14" s="11"/>
      <c r="E14" s="11"/>
      <c r="F14" s="39">
        <v>5</v>
      </c>
      <c r="G14" s="26"/>
      <c r="H14" s="26"/>
      <c r="I14" s="26"/>
      <c r="J14" s="26"/>
      <c r="K14" s="26"/>
      <c r="L14" s="26"/>
      <c r="M14" s="26"/>
      <c r="N14" s="26">
        <v>-2</v>
      </c>
      <c r="O14" s="26">
        <v>-2</v>
      </c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40">
        <f t="shared" si="0"/>
        <v>1</v>
      </c>
    </row>
    <row r="15" spans="1:43" customFormat="1" ht="15" x14ac:dyDescent="0.25">
      <c r="B15" s="20" t="s">
        <v>39</v>
      </c>
      <c r="C15" s="27" t="s">
        <v>40</v>
      </c>
      <c r="D15" s="11"/>
      <c r="E15" s="11"/>
      <c r="F15" s="39">
        <v>2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40">
        <f t="shared" si="0"/>
        <v>2</v>
      </c>
    </row>
    <row r="16" spans="1:43" customFormat="1" ht="15" x14ac:dyDescent="0.25">
      <c r="A16" t="s">
        <v>129</v>
      </c>
      <c r="B16" s="20" t="s">
        <v>41</v>
      </c>
      <c r="C16" s="27" t="s">
        <v>42</v>
      </c>
      <c r="D16" s="11"/>
      <c r="E16" s="11"/>
      <c r="F16" s="39">
        <v>35</v>
      </c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40">
        <f t="shared" si="0"/>
        <v>35</v>
      </c>
    </row>
    <row r="17" spans="1:38" customFormat="1" ht="15" x14ac:dyDescent="0.25">
      <c r="A17" t="s">
        <v>129</v>
      </c>
      <c r="B17" s="20" t="s">
        <v>43</v>
      </c>
      <c r="C17" s="27" t="s">
        <v>44</v>
      </c>
      <c r="D17" s="11"/>
      <c r="E17" s="11"/>
      <c r="F17" s="39">
        <v>6</v>
      </c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>
        <v>-1</v>
      </c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40">
        <f t="shared" si="0"/>
        <v>5</v>
      </c>
    </row>
    <row r="18" spans="1:38" customFormat="1" ht="15" x14ac:dyDescent="0.25">
      <c r="A18" t="s">
        <v>129</v>
      </c>
      <c r="B18" s="20" t="s">
        <v>45</v>
      </c>
      <c r="C18" s="27" t="s">
        <v>46</v>
      </c>
      <c r="D18" s="11"/>
      <c r="E18" s="11"/>
      <c r="F18" s="39">
        <v>48</v>
      </c>
      <c r="G18" s="26"/>
      <c r="H18" s="26"/>
      <c r="I18" s="26">
        <v>-1</v>
      </c>
      <c r="J18" s="26"/>
      <c r="K18" s="26"/>
      <c r="L18" s="26"/>
      <c r="M18" s="26"/>
      <c r="N18" s="26"/>
      <c r="O18" s="26">
        <v>-1</v>
      </c>
      <c r="P18" s="26"/>
      <c r="Q18" s="26"/>
      <c r="R18" s="26"/>
      <c r="S18" s="26"/>
      <c r="T18" s="26"/>
      <c r="U18" s="26"/>
      <c r="V18" s="26">
        <v>-13</v>
      </c>
      <c r="W18" s="26">
        <f>-1+-1+-1</f>
        <v>-3</v>
      </c>
      <c r="X18" s="26"/>
      <c r="Y18" s="26"/>
      <c r="Z18" s="26"/>
      <c r="AA18" s="26">
        <v>-5</v>
      </c>
      <c r="AB18" s="26">
        <v>-1</v>
      </c>
      <c r="AC18" s="26">
        <v>-24</v>
      </c>
      <c r="AD18" s="26"/>
      <c r="AE18" s="26"/>
      <c r="AF18" s="26"/>
      <c r="AG18" s="26"/>
      <c r="AH18" s="26"/>
      <c r="AI18" s="26"/>
      <c r="AJ18" s="26"/>
      <c r="AK18" s="26"/>
      <c r="AL18" s="40">
        <f t="shared" si="0"/>
        <v>0</v>
      </c>
    </row>
    <row r="19" spans="1:38" customFormat="1" ht="15" x14ac:dyDescent="0.25">
      <c r="A19" t="s">
        <v>129</v>
      </c>
      <c r="B19" s="20" t="s">
        <v>47</v>
      </c>
      <c r="C19" s="27" t="s">
        <v>48</v>
      </c>
      <c r="D19" s="11"/>
      <c r="E19" s="11"/>
      <c r="F19" s="39">
        <v>20</v>
      </c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40">
        <f t="shared" si="0"/>
        <v>20</v>
      </c>
    </row>
    <row r="20" spans="1:38" customFormat="1" ht="15" x14ac:dyDescent="0.25">
      <c r="B20" s="20" t="s">
        <v>49</v>
      </c>
      <c r="C20" s="27" t="s">
        <v>50</v>
      </c>
      <c r="D20" s="11"/>
      <c r="E20" s="11"/>
      <c r="F20" s="39">
        <v>0</v>
      </c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40">
        <f t="shared" si="0"/>
        <v>0</v>
      </c>
    </row>
    <row r="21" spans="1:38" customFormat="1" ht="15" x14ac:dyDescent="0.25">
      <c r="B21" s="20" t="s">
        <v>51</v>
      </c>
      <c r="C21" s="27" t="s">
        <v>52</v>
      </c>
      <c r="D21" s="11"/>
      <c r="E21" s="11"/>
      <c r="F21" s="39">
        <v>0</v>
      </c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40">
        <f t="shared" si="0"/>
        <v>0</v>
      </c>
    </row>
    <row r="22" spans="1:38" customFormat="1" ht="15" x14ac:dyDescent="0.25">
      <c r="A22" t="s">
        <v>130</v>
      </c>
      <c r="B22" s="20" t="s">
        <v>53</v>
      </c>
      <c r="C22" s="27" t="s">
        <v>54</v>
      </c>
      <c r="D22" s="11"/>
      <c r="E22" s="11"/>
      <c r="F22" s="39">
        <v>5</v>
      </c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40">
        <f t="shared" si="0"/>
        <v>5</v>
      </c>
    </row>
    <row r="23" spans="1:38" customFormat="1" ht="15" x14ac:dyDescent="0.25">
      <c r="A23" t="s">
        <v>130</v>
      </c>
      <c r="B23" s="20" t="s">
        <v>55</v>
      </c>
      <c r="C23" s="27" t="s">
        <v>56</v>
      </c>
      <c r="D23" s="11"/>
      <c r="E23" s="11"/>
      <c r="F23" s="39">
        <v>22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40">
        <f t="shared" si="0"/>
        <v>22</v>
      </c>
    </row>
    <row r="24" spans="1:38" customFormat="1" ht="15" x14ac:dyDescent="0.25">
      <c r="B24" s="20" t="s">
        <v>57</v>
      </c>
      <c r="C24" s="27" t="s">
        <v>58</v>
      </c>
      <c r="D24" s="11"/>
      <c r="E24" s="11"/>
      <c r="F24" s="39">
        <v>11</v>
      </c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40">
        <f t="shared" si="0"/>
        <v>11</v>
      </c>
    </row>
    <row r="25" spans="1:38" customFormat="1" ht="15" x14ac:dyDescent="0.25">
      <c r="A25" t="s">
        <v>130</v>
      </c>
      <c r="B25" s="20" t="s">
        <v>59</v>
      </c>
      <c r="C25" s="27" t="s">
        <v>60</v>
      </c>
      <c r="D25" s="11"/>
      <c r="E25" s="11"/>
      <c r="F25" s="39">
        <f>414+85</f>
        <v>499</v>
      </c>
      <c r="G25" s="26"/>
      <c r="H25" s="26">
        <v>-12</v>
      </c>
      <c r="I25" s="26"/>
      <c r="J25" s="26">
        <v>-4</v>
      </c>
      <c r="K25" s="26"/>
      <c r="L25" s="26"/>
      <c r="M25" s="26"/>
      <c r="N25" s="26">
        <v>-37</v>
      </c>
      <c r="O25" s="26">
        <f>-6+-6</f>
        <v>-12</v>
      </c>
      <c r="P25" s="26"/>
      <c r="Q25" s="26"/>
      <c r="R25" s="26">
        <v>-71</v>
      </c>
      <c r="S25" s="26">
        <f>-12+-12</f>
        <v>-24</v>
      </c>
      <c r="T25" s="26"/>
      <c r="U25" s="26"/>
      <c r="V25" s="26">
        <v>-14</v>
      </c>
      <c r="W25" s="26"/>
      <c r="X25" s="26"/>
      <c r="Y25" s="26">
        <v>-37</v>
      </c>
      <c r="Z25" s="26"/>
      <c r="AA25" s="26"/>
      <c r="AB25" s="26">
        <f>-13+-12</f>
        <v>-25</v>
      </c>
      <c r="AC25" s="26">
        <f>-20+-20</f>
        <v>-40</v>
      </c>
      <c r="AD25" s="26"/>
      <c r="AE25" s="26"/>
      <c r="AF25" s="26"/>
      <c r="AG25" s="26"/>
      <c r="AH25" s="26">
        <v>-10</v>
      </c>
      <c r="AI25" s="26"/>
      <c r="AJ25" s="26">
        <f>-7+-7</f>
        <v>-14</v>
      </c>
      <c r="AK25" s="26"/>
      <c r="AL25" s="40">
        <f t="shared" si="0"/>
        <v>199</v>
      </c>
    </row>
    <row r="26" spans="1:38" customFormat="1" ht="15" x14ac:dyDescent="0.25">
      <c r="A26" t="s">
        <v>128</v>
      </c>
      <c r="B26" s="20" t="s">
        <v>61</v>
      </c>
      <c r="C26" s="27" t="s">
        <v>62</v>
      </c>
      <c r="D26" s="11"/>
      <c r="E26" s="11"/>
      <c r="F26" s="39">
        <v>299</v>
      </c>
      <c r="G26" s="26"/>
      <c r="H26" s="26"/>
      <c r="I26" s="26"/>
      <c r="J26" s="26"/>
      <c r="K26" s="26"/>
      <c r="L26" s="26"/>
      <c r="M26" s="26"/>
      <c r="N26" s="26"/>
      <c r="O26" s="26">
        <v>-6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40">
        <f t="shared" si="0"/>
        <v>293</v>
      </c>
    </row>
    <row r="27" spans="1:38" customFormat="1" ht="15" x14ac:dyDescent="0.25">
      <c r="B27" s="20" t="s">
        <v>63</v>
      </c>
      <c r="C27" s="27" t="s">
        <v>64</v>
      </c>
      <c r="D27" s="11"/>
      <c r="E27" s="11"/>
      <c r="F27" s="39">
        <v>12</v>
      </c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40">
        <f t="shared" si="0"/>
        <v>12</v>
      </c>
    </row>
    <row r="28" spans="1:38" customFormat="1" ht="15" x14ac:dyDescent="0.25">
      <c r="A28" t="s">
        <v>131</v>
      </c>
      <c r="B28" s="20" t="s">
        <v>65</v>
      </c>
      <c r="C28" s="27" t="s">
        <v>66</v>
      </c>
      <c r="D28" s="11"/>
      <c r="E28" s="11"/>
      <c r="F28" s="39">
        <v>101</v>
      </c>
      <c r="G28" s="26"/>
      <c r="H28" s="26">
        <v>-12</v>
      </c>
      <c r="I28" s="26"/>
      <c r="J28" s="26">
        <v>-5</v>
      </c>
      <c r="K28" s="26"/>
      <c r="L28" s="26"/>
      <c r="M28" s="26"/>
      <c r="N28" s="26"/>
      <c r="O28" s="26"/>
      <c r="P28" s="26"/>
      <c r="Q28" s="26"/>
      <c r="R28" s="26">
        <v>-73</v>
      </c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40">
        <f t="shared" si="0"/>
        <v>11</v>
      </c>
    </row>
    <row r="29" spans="1:38" customFormat="1" ht="15" x14ac:dyDescent="0.25">
      <c r="A29" t="s">
        <v>127</v>
      </c>
      <c r="B29" s="20" t="s">
        <v>67</v>
      </c>
      <c r="C29" s="27" t="s">
        <v>68</v>
      </c>
      <c r="D29" s="11"/>
      <c r="E29" s="11"/>
      <c r="F29" s="39">
        <v>292</v>
      </c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40">
        <f t="shared" si="0"/>
        <v>292</v>
      </c>
    </row>
    <row r="30" spans="1:38" customFormat="1" ht="15" x14ac:dyDescent="0.25">
      <c r="B30" s="20" t="s">
        <v>69</v>
      </c>
      <c r="C30" s="27" t="s">
        <v>70</v>
      </c>
      <c r="D30" s="11"/>
      <c r="E30" s="11"/>
      <c r="F30" s="39">
        <v>0</v>
      </c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40">
        <f t="shared" si="0"/>
        <v>0</v>
      </c>
    </row>
    <row r="31" spans="1:38" customFormat="1" ht="15" x14ac:dyDescent="0.25">
      <c r="B31" s="20" t="s">
        <v>71</v>
      </c>
      <c r="C31" s="27" t="s">
        <v>72</v>
      </c>
      <c r="D31" s="11"/>
      <c r="E31" s="11"/>
      <c r="F31" s="39">
        <v>54</v>
      </c>
      <c r="G31" s="26"/>
      <c r="H31" s="26">
        <v>-54</v>
      </c>
      <c r="I31" s="26"/>
      <c r="J31" s="26"/>
      <c r="K31" s="26"/>
      <c r="L31" s="26"/>
      <c r="M31" s="37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40">
        <f t="shared" si="0"/>
        <v>0</v>
      </c>
    </row>
    <row r="32" spans="1:38" customFormat="1" ht="15" x14ac:dyDescent="0.25">
      <c r="B32" s="20" t="s">
        <v>73</v>
      </c>
      <c r="C32" s="27" t="s">
        <v>74</v>
      </c>
      <c r="D32" s="11"/>
      <c r="E32" s="11"/>
      <c r="F32" s="39">
        <v>0</v>
      </c>
      <c r="G32" s="26"/>
      <c r="H32" s="26"/>
      <c r="I32" s="26"/>
      <c r="J32" s="26"/>
      <c r="K32" s="26"/>
      <c r="L32" s="26"/>
      <c r="M32" s="35">
        <v>100</v>
      </c>
      <c r="N32" s="26">
        <v>-50</v>
      </c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40">
        <f t="shared" si="0"/>
        <v>50</v>
      </c>
    </row>
    <row r="33" spans="2:38" customFormat="1" ht="15" x14ac:dyDescent="0.25">
      <c r="B33" s="20" t="s">
        <v>75</v>
      </c>
      <c r="C33" s="27" t="s">
        <v>76</v>
      </c>
      <c r="D33" s="11"/>
      <c r="E33" s="11"/>
      <c r="F33" s="39">
        <v>0</v>
      </c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40">
        <f t="shared" si="0"/>
        <v>0</v>
      </c>
    </row>
    <row r="34" spans="2:38" customFormat="1" ht="15" x14ac:dyDescent="0.25">
      <c r="B34" s="20" t="s">
        <v>77</v>
      </c>
      <c r="C34" s="27" t="s">
        <v>78</v>
      </c>
      <c r="D34" s="11"/>
      <c r="E34" s="11"/>
      <c r="F34" s="39">
        <v>0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40">
        <f t="shared" si="0"/>
        <v>0</v>
      </c>
    </row>
    <row r="35" spans="2:38" customFormat="1" ht="15" x14ac:dyDescent="0.25">
      <c r="B35" s="20" t="s">
        <v>79</v>
      </c>
      <c r="C35" s="27" t="s">
        <v>80</v>
      </c>
      <c r="D35" s="11"/>
      <c r="E35" s="11"/>
      <c r="F35" s="39">
        <v>2</v>
      </c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>
        <v>-2</v>
      </c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40">
        <f t="shared" si="0"/>
        <v>0</v>
      </c>
    </row>
    <row r="36" spans="2:38" customFormat="1" ht="15" x14ac:dyDescent="0.25">
      <c r="B36" s="20" t="s">
        <v>81</v>
      </c>
      <c r="C36" s="27" t="s">
        <v>82</v>
      </c>
      <c r="D36" s="11"/>
      <c r="E36" s="11"/>
      <c r="F36" s="39">
        <v>100</v>
      </c>
      <c r="G36" s="26"/>
      <c r="H36" s="26"/>
      <c r="I36" s="26"/>
      <c r="J36" s="26"/>
      <c r="K36" s="26"/>
      <c r="L36" s="26"/>
      <c r="M36" s="26"/>
      <c r="N36" s="26">
        <v>-84</v>
      </c>
      <c r="O36" s="26"/>
      <c r="P36" s="26"/>
      <c r="Q36" s="26"/>
      <c r="R36" s="26"/>
      <c r="S36" s="26">
        <v>-12</v>
      </c>
      <c r="T36" s="26"/>
      <c r="U36" s="26"/>
      <c r="V36" s="26">
        <v>-1</v>
      </c>
      <c r="W36" s="26"/>
      <c r="X36" s="26"/>
      <c r="Y36" s="26"/>
      <c r="Z36" s="26"/>
      <c r="AA36" s="26">
        <f>-5+-13</f>
        <v>-18</v>
      </c>
      <c r="AB36" s="35">
        <f>200+100</f>
        <v>300</v>
      </c>
      <c r="AC36" s="26">
        <f>-20+-4</f>
        <v>-24</v>
      </c>
      <c r="AD36" s="26"/>
      <c r="AE36" s="26"/>
      <c r="AF36" s="26"/>
      <c r="AG36" s="26">
        <v>-65</v>
      </c>
      <c r="AH36" s="26">
        <v>-5</v>
      </c>
      <c r="AI36" s="26"/>
      <c r="AJ36" s="26"/>
      <c r="AK36" s="26"/>
      <c r="AL36" s="40">
        <f t="shared" si="0"/>
        <v>191</v>
      </c>
    </row>
    <row r="37" spans="2:38" customFormat="1" ht="15" x14ac:dyDescent="0.25">
      <c r="B37" s="20" t="s">
        <v>83</v>
      </c>
      <c r="C37" s="27" t="s">
        <v>84</v>
      </c>
      <c r="D37" s="11"/>
      <c r="E37" s="11"/>
      <c r="F37" s="39">
        <v>0</v>
      </c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40">
        <f t="shared" si="0"/>
        <v>0</v>
      </c>
    </row>
    <row r="38" spans="2:38" customFormat="1" ht="15" x14ac:dyDescent="0.25">
      <c r="B38" s="20" t="s">
        <v>85</v>
      </c>
      <c r="C38" s="27" t="s">
        <v>86</v>
      </c>
      <c r="D38" s="11"/>
      <c r="E38" s="11"/>
      <c r="F38" s="39">
        <v>88</v>
      </c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40">
        <f t="shared" si="0"/>
        <v>88</v>
      </c>
    </row>
    <row r="39" spans="2:38" customFormat="1" ht="15" x14ac:dyDescent="0.25">
      <c r="B39" s="20" t="s">
        <v>87</v>
      </c>
      <c r="C39" s="27" t="s">
        <v>88</v>
      </c>
      <c r="D39" s="11"/>
      <c r="E39" s="11"/>
      <c r="F39" s="39">
        <v>0</v>
      </c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40">
        <f t="shared" si="0"/>
        <v>0</v>
      </c>
    </row>
    <row r="40" spans="2:38" customFormat="1" ht="15" x14ac:dyDescent="0.25">
      <c r="B40" s="20" t="s">
        <v>89</v>
      </c>
      <c r="C40" s="27" t="s">
        <v>90</v>
      </c>
      <c r="D40" s="11"/>
      <c r="E40" s="11"/>
      <c r="F40" s="39">
        <v>0</v>
      </c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40">
        <f t="shared" si="0"/>
        <v>0</v>
      </c>
    </row>
    <row r="41" spans="2:38" customFormat="1" ht="15" x14ac:dyDescent="0.25">
      <c r="B41" s="20" t="s">
        <v>91</v>
      </c>
      <c r="C41" s="27" t="s">
        <v>92</v>
      </c>
      <c r="D41" s="11"/>
      <c r="E41" s="11"/>
      <c r="F41" s="39">
        <f>380+19</f>
        <v>399</v>
      </c>
      <c r="G41" s="26"/>
      <c r="H41" s="26"/>
      <c r="I41" s="26">
        <v>-71</v>
      </c>
      <c r="J41" s="26"/>
      <c r="K41" s="26">
        <v>-29</v>
      </c>
      <c r="L41" s="26"/>
      <c r="M41" s="26">
        <f>-21+-46</f>
        <v>-67</v>
      </c>
      <c r="N41" s="35">
        <v>300</v>
      </c>
      <c r="O41" s="26">
        <v>-6</v>
      </c>
      <c r="P41" s="26">
        <v>-19</v>
      </c>
      <c r="Q41" s="26"/>
      <c r="R41" s="26"/>
      <c r="S41" s="26">
        <v>-12</v>
      </c>
      <c r="T41" s="26">
        <v>-50</v>
      </c>
      <c r="U41" s="26"/>
      <c r="V41" s="26"/>
      <c r="W41" s="26"/>
      <c r="X41" s="26"/>
      <c r="Y41" s="26">
        <v>-60</v>
      </c>
      <c r="Z41" s="26"/>
      <c r="AA41" s="26">
        <v>-3</v>
      </c>
      <c r="AB41" s="26"/>
      <c r="AC41" s="26"/>
      <c r="AD41" s="26"/>
      <c r="AE41" s="26"/>
      <c r="AF41" s="26"/>
      <c r="AG41" s="35">
        <v>300</v>
      </c>
      <c r="AH41" s="26">
        <v>-11</v>
      </c>
      <c r="AI41" s="26">
        <f>-56+-26</f>
        <v>-82</v>
      </c>
      <c r="AJ41" s="26">
        <f>-69+-7</f>
        <v>-76</v>
      </c>
      <c r="AK41" s="26"/>
      <c r="AL41" s="40">
        <f t="shared" si="0"/>
        <v>513</v>
      </c>
    </row>
    <row r="42" spans="2:38" customFormat="1" ht="15" x14ac:dyDescent="0.25">
      <c r="B42" s="20" t="s">
        <v>93</v>
      </c>
      <c r="C42" s="27" t="s">
        <v>94</v>
      </c>
      <c r="D42" s="11"/>
      <c r="E42" s="11"/>
      <c r="F42" s="39">
        <v>0</v>
      </c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40">
        <f t="shared" si="0"/>
        <v>0</v>
      </c>
    </row>
    <row r="43" spans="2:38" customFormat="1" ht="15" x14ac:dyDescent="0.25">
      <c r="B43" s="20" t="s">
        <v>95</v>
      </c>
      <c r="C43" s="27" t="s">
        <v>96</v>
      </c>
      <c r="D43" s="11"/>
      <c r="E43" s="11"/>
      <c r="F43" s="39">
        <v>2</v>
      </c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40">
        <f t="shared" si="0"/>
        <v>2</v>
      </c>
    </row>
    <row r="44" spans="2:38" customFormat="1" ht="15" x14ac:dyDescent="0.25">
      <c r="B44" s="20" t="s">
        <v>97</v>
      </c>
      <c r="C44" s="27" t="s">
        <v>98</v>
      </c>
      <c r="D44" s="11"/>
      <c r="E44" s="11"/>
      <c r="F44" s="39">
        <v>53</v>
      </c>
      <c r="G44" s="26"/>
      <c r="H44" s="26"/>
      <c r="I44" s="26">
        <v>-1</v>
      </c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>
        <v>-12</v>
      </c>
      <c r="AA44" s="26">
        <v>-5</v>
      </c>
      <c r="AB44" s="35">
        <f>50+50</f>
        <v>100</v>
      </c>
      <c r="AC44" s="26">
        <f>-25+-1+-1</f>
        <v>-27</v>
      </c>
      <c r="AD44" s="26"/>
      <c r="AE44" s="26"/>
      <c r="AF44" s="26"/>
      <c r="AG44" s="26"/>
      <c r="AH44" s="26"/>
      <c r="AI44" s="26">
        <v>-2</v>
      </c>
      <c r="AJ44" s="26"/>
      <c r="AK44" s="26"/>
      <c r="AL44" s="40">
        <f t="shared" si="0"/>
        <v>106</v>
      </c>
    </row>
    <row r="45" spans="2:38" customFormat="1" ht="15" x14ac:dyDescent="0.25">
      <c r="B45" s="20" t="s">
        <v>99</v>
      </c>
      <c r="C45" s="27" t="s">
        <v>100</v>
      </c>
      <c r="D45" s="11"/>
      <c r="E45" s="11"/>
      <c r="F45" s="39">
        <v>2</v>
      </c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40">
        <f t="shared" si="0"/>
        <v>2</v>
      </c>
    </row>
    <row r="46" spans="2:38" customFormat="1" ht="15" x14ac:dyDescent="0.25">
      <c r="B46" s="20" t="s">
        <v>101</v>
      </c>
      <c r="C46" s="27" t="s">
        <v>102</v>
      </c>
      <c r="D46" s="11"/>
      <c r="E46" s="11"/>
      <c r="F46" s="39">
        <v>0</v>
      </c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40">
        <f t="shared" si="0"/>
        <v>0</v>
      </c>
    </row>
    <row r="47" spans="2:38" customFormat="1" ht="15" x14ac:dyDescent="0.25">
      <c r="B47" s="20" t="s">
        <v>103</v>
      </c>
      <c r="C47" s="27" t="s">
        <v>104</v>
      </c>
      <c r="D47" s="11"/>
      <c r="E47" s="11"/>
      <c r="F47" s="39">
        <v>333</v>
      </c>
      <c r="G47" s="26"/>
      <c r="H47" s="26">
        <v>-24</v>
      </c>
      <c r="I47" s="26"/>
      <c r="J47" s="26">
        <v>-10</v>
      </c>
      <c r="K47" s="26"/>
      <c r="L47" s="26"/>
      <c r="M47" s="26"/>
      <c r="N47" s="26"/>
      <c r="O47" s="26"/>
      <c r="P47" s="26"/>
      <c r="Q47" s="26"/>
      <c r="R47" s="26">
        <v>-146</v>
      </c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40">
        <f t="shared" si="0"/>
        <v>153</v>
      </c>
    </row>
    <row r="48" spans="2:38" customFormat="1" ht="15" x14ac:dyDescent="0.25">
      <c r="B48" s="20"/>
      <c r="C48" s="27" t="s">
        <v>105</v>
      </c>
      <c r="D48" s="11"/>
      <c r="E48" s="11"/>
      <c r="F48" s="39">
        <v>0</v>
      </c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40">
        <f t="shared" si="0"/>
        <v>0</v>
      </c>
    </row>
    <row r="49" spans="2:38" customFormat="1" ht="15" x14ac:dyDescent="0.25">
      <c r="B49" s="20" t="s">
        <v>106</v>
      </c>
      <c r="C49" s="27" t="s">
        <v>107</v>
      </c>
      <c r="D49" s="11"/>
      <c r="E49" s="11"/>
      <c r="F49" s="39">
        <v>203</v>
      </c>
      <c r="G49" s="26"/>
      <c r="H49" s="26"/>
      <c r="I49" s="26">
        <v>-80</v>
      </c>
      <c r="J49" s="26"/>
      <c r="K49" s="26"/>
      <c r="L49" s="26">
        <v>-29</v>
      </c>
      <c r="M49" s="26"/>
      <c r="N49" s="26"/>
      <c r="O49" s="26">
        <v>-6</v>
      </c>
      <c r="P49" s="26"/>
      <c r="Q49" s="26"/>
      <c r="R49" s="26"/>
      <c r="S49" s="26"/>
      <c r="T49" s="26"/>
      <c r="U49" s="26"/>
      <c r="V49" s="26"/>
      <c r="W49" s="26"/>
      <c r="X49" s="26"/>
      <c r="Y49" s="26">
        <v>-7</v>
      </c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40">
        <f t="shared" si="0"/>
        <v>81</v>
      </c>
    </row>
    <row r="50" spans="2:38" customFormat="1" ht="15" x14ac:dyDescent="0.25">
      <c r="B50" s="20" t="s">
        <v>108</v>
      </c>
      <c r="C50" s="27" t="s">
        <v>109</v>
      </c>
      <c r="D50" s="11"/>
      <c r="E50" s="11"/>
      <c r="F50" s="39">
        <v>0</v>
      </c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40">
        <f t="shared" si="0"/>
        <v>0</v>
      </c>
    </row>
    <row r="51" spans="2:38" customFormat="1" ht="15" x14ac:dyDescent="0.25">
      <c r="B51" s="20" t="s">
        <v>110</v>
      </c>
      <c r="C51" s="27" t="s">
        <v>111</v>
      </c>
      <c r="D51" s="11"/>
      <c r="E51" s="11"/>
      <c r="F51" s="39">
        <v>3</v>
      </c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40">
        <f t="shared" si="0"/>
        <v>3</v>
      </c>
    </row>
    <row r="52" spans="2:38" customFormat="1" ht="15" x14ac:dyDescent="0.25">
      <c r="B52" s="20" t="s">
        <v>112</v>
      </c>
      <c r="C52" s="27" t="s">
        <v>113</v>
      </c>
      <c r="D52" s="11"/>
      <c r="E52" s="11"/>
      <c r="F52" s="39">
        <v>0</v>
      </c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40">
        <f t="shared" si="0"/>
        <v>0</v>
      </c>
    </row>
    <row r="53" spans="2:38" customFormat="1" ht="15" x14ac:dyDescent="0.25">
      <c r="B53" s="25"/>
      <c r="C53" s="27" t="s">
        <v>114</v>
      </c>
      <c r="D53" s="11"/>
      <c r="E53" s="11"/>
      <c r="F53" s="39">
        <v>1</v>
      </c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40">
        <f t="shared" si="0"/>
        <v>1</v>
      </c>
    </row>
    <row r="54" spans="2:38" customFormat="1" ht="15" x14ac:dyDescent="0.25">
      <c r="B54" s="20" t="s">
        <v>115</v>
      </c>
      <c r="C54" s="27" t="s">
        <v>116</v>
      </c>
      <c r="D54" s="11"/>
      <c r="E54" s="11"/>
      <c r="F54" s="39">
        <v>154</v>
      </c>
      <c r="G54" s="26"/>
      <c r="H54" s="26">
        <v>-12</v>
      </c>
      <c r="I54" s="26"/>
      <c r="J54" s="26">
        <v>-5</v>
      </c>
      <c r="K54" s="26"/>
      <c r="L54" s="26"/>
      <c r="M54" s="26"/>
      <c r="N54" s="26"/>
      <c r="O54" s="26"/>
      <c r="P54" s="26"/>
      <c r="Q54" s="26"/>
      <c r="R54" s="26">
        <v>-73</v>
      </c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40">
        <f t="shared" si="0"/>
        <v>64</v>
      </c>
    </row>
    <row r="55" spans="2:38" customFormat="1" ht="15" x14ac:dyDescent="0.25">
      <c r="B55" s="20" t="s">
        <v>117</v>
      </c>
      <c r="C55" s="27" t="s">
        <v>118</v>
      </c>
      <c r="D55" s="11"/>
      <c r="E55" s="11"/>
      <c r="F55" s="39">
        <v>40</v>
      </c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40">
        <f t="shared" si="0"/>
        <v>40</v>
      </c>
    </row>
    <row r="56" spans="2:38" customFormat="1" ht="15" x14ac:dyDescent="0.25">
      <c r="B56" s="20" t="s">
        <v>119</v>
      </c>
      <c r="C56" s="27" t="s">
        <v>120</v>
      </c>
      <c r="D56" s="11"/>
      <c r="E56" s="11"/>
      <c r="F56" s="39">
        <v>16</v>
      </c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40">
        <f t="shared" si="0"/>
        <v>16</v>
      </c>
    </row>
    <row r="57" spans="2:38" customFormat="1" ht="15" x14ac:dyDescent="0.25">
      <c r="B57" s="20" t="s">
        <v>121</v>
      </c>
      <c r="C57" s="27" t="s">
        <v>122</v>
      </c>
      <c r="D57" s="11"/>
      <c r="E57" s="11"/>
      <c r="F57" s="39">
        <v>486</v>
      </c>
      <c r="G57" s="26"/>
      <c r="H57" s="26">
        <v>-12</v>
      </c>
      <c r="I57" s="26"/>
      <c r="J57" s="26">
        <v>-4</v>
      </c>
      <c r="K57" s="26"/>
      <c r="L57" s="26"/>
      <c r="M57" s="26"/>
      <c r="N57" s="26">
        <v>-37</v>
      </c>
      <c r="O57" s="26">
        <v>-6</v>
      </c>
      <c r="P57" s="26"/>
      <c r="Q57" s="26"/>
      <c r="R57" s="26">
        <v>-71</v>
      </c>
      <c r="S57" s="26">
        <v>-12</v>
      </c>
      <c r="T57" s="26"/>
      <c r="U57" s="26"/>
      <c r="V57" s="26">
        <v>-14</v>
      </c>
      <c r="W57" s="26"/>
      <c r="X57" s="26"/>
      <c r="Y57" s="26"/>
      <c r="Z57" s="26"/>
      <c r="AA57" s="26"/>
      <c r="AB57" s="26">
        <v>-13</v>
      </c>
      <c r="AC57" s="26">
        <v>-20</v>
      </c>
      <c r="AD57" s="26"/>
      <c r="AE57" s="26"/>
      <c r="AF57" s="26"/>
      <c r="AG57" s="26"/>
      <c r="AH57" s="26"/>
      <c r="AI57" s="26"/>
      <c r="AJ57" s="26">
        <v>-7</v>
      </c>
      <c r="AK57" s="26"/>
      <c r="AL57" s="40">
        <f t="shared" si="0"/>
        <v>290</v>
      </c>
    </row>
    <row r="58" spans="2:38" customFormat="1" ht="15" x14ac:dyDescent="0.25">
      <c r="B58" s="20" t="s">
        <v>123</v>
      </c>
      <c r="C58" s="27" t="s">
        <v>124</v>
      </c>
      <c r="D58" s="11"/>
      <c r="E58" s="11"/>
      <c r="F58" s="39">
        <v>24</v>
      </c>
      <c r="G58" s="26"/>
      <c r="H58" s="26"/>
      <c r="I58" s="26">
        <v>-1</v>
      </c>
      <c r="J58" s="26"/>
      <c r="K58" s="26"/>
      <c r="L58" s="26">
        <v>-3</v>
      </c>
      <c r="M58" s="26"/>
      <c r="N58" s="26"/>
      <c r="O58" s="26">
        <v>-1</v>
      </c>
      <c r="P58" s="26"/>
      <c r="Q58" s="26"/>
      <c r="R58" s="26"/>
      <c r="S58" s="26"/>
      <c r="T58" s="26">
        <v>-1</v>
      </c>
      <c r="U58" s="26"/>
      <c r="V58" s="26">
        <v>-13</v>
      </c>
      <c r="W58" s="26">
        <f>-1+-1+-1</f>
        <v>-3</v>
      </c>
      <c r="X58" s="26"/>
      <c r="Y58" s="26"/>
      <c r="Z58" s="35">
        <v>10</v>
      </c>
      <c r="AA58" s="26">
        <v>-5</v>
      </c>
      <c r="AB58" s="26">
        <v>-1</v>
      </c>
      <c r="AC58" s="26">
        <v>-13</v>
      </c>
      <c r="AD58" s="26"/>
      <c r="AE58" s="26"/>
      <c r="AF58" s="26"/>
      <c r="AG58" s="26"/>
      <c r="AH58" s="26"/>
      <c r="AI58" s="26"/>
      <c r="AJ58" s="26"/>
      <c r="AK58" s="35">
        <v>50</v>
      </c>
      <c r="AL58" s="40">
        <f t="shared" si="0"/>
        <v>43</v>
      </c>
    </row>
    <row r="59" spans="2:38" customFormat="1" ht="15" x14ac:dyDescent="0.25">
      <c r="B59" s="20" t="s">
        <v>125</v>
      </c>
      <c r="C59" s="27" t="s">
        <v>126</v>
      </c>
      <c r="D59" s="11"/>
      <c r="E59" s="11"/>
      <c r="F59" s="39">
        <v>394</v>
      </c>
      <c r="G59" s="26"/>
      <c r="H59" s="26"/>
      <c r="I59" s="26">
        <v>-1</v>
      </c>
      <c r="J59" s="26"/>
      <c r="K59" s="26"/>
      <c r="L59" s="26"/>
      <c r="M59" s="26">
        <v>-130</v>
      </c>
      <c r="N59" s="26"/>
      <c r="O59" s="26">
        <v>-1</v>
      </c>
      <c r="P59" s="26"/>
      <c r="Q59" s="26"/>
      <c r="R59" s="26"/>
      <c r="S59" s="26"/>
      <c r="T59" s="26"/>
      <c r="U59" s="26"/>
      <c r="V59" s="26">
        <v>-13</v>
      </c>
      <c r="W59" s="26">
        <f>-1+-1+-1</f>
        <v>-3</v>
      </c>
      <c r="X59" s="26"/>
      <c r="Y59" s="26"/>
      <c r="Z59" s="26"/>
      <c r="AA59" s="26">
        <v>-5</v>
      </c>
      <c r="AB59" s="26">
        <v>-1</v>
      </c>
      <c r="AC59" s="26">
        <v>-25</v>
      </c>
      <c r="AD59" s="26"/>
      <c r="AE59" s="26"/>
      <c r="AF59" s="26"/>
      <c r="AG59" s="26"/>
      <c r="AH59" s="26"/>
      <c r="AI59" s="26"/>
      <c r="AJ59" s="26"/>
      <c r="AK59" s="26"/>
      <c r="AL59" s="40">
        <f t="shared" si="0"/>
        <v>215</v>
      </c>
    </row>
    <row r="60" spans="2:38" ht="13.5" thickBot="1" x14ac:dyDescent="0.25">
      <c r="D60" s="32"/>
      <c r="E60" s="33"/>
      <c r="F60" s="33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</row>
    <row r="61" spans="2:38" ht="79.5" customHeight="1" thickBot="1" x14ac:dyDescent="0.25">
      <c r="B61" s="6" t="s">
        <v>21</v>
      </c>
      <c r="C61" s="18"/>
      <c r="D61" s="19"/>
      <c r="E61" s="9" t="s">
        <v>22</v>
      </c>
      <c r="F61" s="22" t="s">
        <v>23</v>
      </c>
      <c r="G61" s="30" t="s">
        <v>24</v>
      </c>
      <c r="H61" s="31"/>
    </row>
    <row r="62" spans="2:38" ht="16.5" thickBot="1" x14ac:dyDescent="0.25">
      <c r="B62" s="7" t="s">
        <v>25</v>
      </c>
      <c r="C62" s="19"/>
      <c r="D62" s="19"/>
      <c r="E62" s="8"/>
      <c r="F62" s="21"/>
      <c r="G62" s="59"/>
      <c r="H62" s="60"/>
    </row>
    <row r="63" spans="2:38" ht="16.5" thickBot="1" x14ac:dyDescent="0.25">
      <c r="B63" s="7" t="s">
        <v>26</v>
      </c>
      <c r="C63" s="19"/>
      <c r="D63" s="19"/>
      <c r="E63" s="9"/>
      <c r="F63" s="22"/>
      <c r="G63" s="61"/>
      <c r="H63" s="62"/>
    </row>
    <row r="64" spans="2:38" ht="16.5" thickBot="1" x14ac:dyDescent="0.25">
      <c r="B64" s="7" t="s">
        <v>27</v>
      </c>
      <c r="C64" s="19"/>
      <c r="D64" s="19"/>
      <c r="E64" s="10"/>
      <c r="F64" s="23"/>
      <c r="G64" s="63"/>
      <c r="H64" s="64"/>
    </row>
    <row r="65" spans="2:8" ht="15.75" x14ac:dyDescent="0.2">
      <c r="B65" s="65" t="s">
        <v>28</v>
      </c>
      <c r="C65" s="16"/>
      <c r="D65" s="16"/>
      <c r="E65" s="68"/>
      <c r="F65" s="71"/>
      <c r="G65" s="74"/>
      <c r="H65" s="75"/>
    </row>
    <row r="66" spans="2:8" ht="15.75" x14ac:dyDescent="0.2">
      <c r="B66" s="66"/>
      <c r="C66" s="17"/>
      <c r="D66" s="17"/>
      <c r="E66" s="69"/>
      <c r="F66" s="72"/>
      <c r="G66" s="74"/>
      <c r="H66" s="75"/>
    </row>
    <row r="67" spans="2:8" ht="16.5" thickBot="1" x14ac:dyDescent="0.25">
      <c r="B67" s="67"/>
      <c r="C67" s="7"/>
      <c r="D67" s="7"/>
      <c r="E67" s="70"/>
      <c r="F67" s="73"/>
      <c r="G67" s="76"/>
      <c r="H67" s="77"/>
    </row>
  </sheetData>
  <autoFilter ref="A10:AO59" xr:uid="{00000000-0001-0000-0000-000000000000}"/>
  <mergeCells count="24">
    <mergeCell ref="G65:H67"/>
    <mergeCell ref="G62:H62"/>
    <mergeCell ref="G63:H63"/>
    <mergeCell ref="G64:H64"/>
    <mergeCell ref="B65:B67"/>
    <mergeCell ref="E65:E67"/>
    <mergeCell ref="F65:F67"/>
    <mergeCell ref="E1:Q1"/>
    <mergeCell ref="E2:Q2"/>
    <mergeCell ref="E3:Q3"/>
    <mergeCell ref="E4:Q4"/>
    <mergeCell ref="E5:G5"/>
    <mergeCell ref="H5:J5"/>
    <mergeCell ref="K5:L5"/>
    <mergeCell ref="N5:O5"/>
    <mergeCell ref="P5:Q5"/>
    <mergeCell ref="E6:G6"/>
    <mergeCell ref="H6:J6"/>
    <mergeCell ref="K6:L6"/>
    <mergeCell ref="M6:Q6"/>
    <mergeCell ref="E7:G7"/>
    <mergeCell ref="H7:J7"/>
    <mergeCell ref="K7:L7"/>
    <mergeCell ref="M7:Q7"/>
  </mergeCells>
  <conditionalFormatting sqref="AL11:AL59">
    <cfRule type="cellIs" dxfId="11" priority="4" operator="greaterThan">
      <formula>#REF!</formula>
    </cfRule>
    <cfRule type="cellIs" dxfId="10" priority="5" operator="between">
      <formula>11</formula>
      <formula>50</formula>
    </cfRule>
    <cfRule type="cellIs" dxfId="9" priority="6" operator="lessThan">
      <formula>#REF!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9DD10-0AC2-461A-BA2F-54E478B0327A}">
  <sheetPr codeName="Sheet3"/>
  <dimension ref="A1:AL68"/>
  <sheetViews>
    <sheetView workbookViewId="0">
      <pane xSplit="4" ySplit="10" topLeftCell="X38" activePane="bottomRight" state="frozen"/>
      <selection pane="topRight" activeCell="E1" sqref="E1"/>
      <selection pane="bottomLeft" activeCell="A11" sqref="A11"/>
      <selection pane="bottomRight" activeCell="AJ41" sqref="AJ41"/>
    </sheetView>
  </sheetViews>
  <sheetFormatPr defaultRowHeight="15" x14ac:dyDescent="0.25"/>
  <cols>
    <col min="2" max="2" width="12.28515625" bestFit="1" customWidth="1"/>
    <col min="3" max="3" width="53.85546875" bestFit="1" customWidth="1"/>
    <col min="7" max="34" width="10.140625" bestFit="1" customWidth="1"/>
  </cols>
  <sheetData>
    <row r="1" spans="1:38" ht="22.5" x14ac:dyDescent="0.25">
      <c r="E1" s="42" t="s">
        <v>29</v>
      </c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</row>
    <row r="2" spans="1:38" x14ac:dyDescent="0.25">
      <c r="E2" s="43" t="s">
        <v>30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5"/>
    </row>
    <row r="3" spans="1:38" ht="15.75" x14ac:dyDescent="0.25">
      <c r="E3" s="46" t="s">
        <v>0</v>
      </c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</row>
    <row r="4" spans="1:38" x14ac:dyDescent="0.25">
      <c r="E4" s="47" t="s">
        <v>1</v>
      </c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</row>
    <row r="5" spans="1:38" ht="15.75" x14ac:dyDescent="0.25">
      <c r="E5" s="48" t="s">
        <v>2</v>
      </c>
      <c r="F5" s="48"/>
      <c r="G5" s="48"/>
      <c r="H5" s="49" t="s">
        <v>3</v>
      </c>
      <c r="I5" s="50"/>
      <c r="J5" s="51"/>
      <c r="K5" s="52" t="s">
        <v>4</v>
      </c>
      <c r="L5" s="52"/>
      <c r="M5" s="11">
        <v>0</v>
      </c>
      <c r="N5" s="53" t="s">
        <v>5</v>
      </c>
      <c r="O5" s="53"/>
      <c r="P5" s="54"/>
      <c r="Q5" s="55"/>
    </row>
    <row r="6" spans="1:38" ht="15.75" x14ac:dyDescent="0.25">
      <c r="E6" s="48" t="s">
        <v>6</v>
      </c>
      <c r="F6" s="48"/>
      <c r="G6" s="48"/>
      <c r="H6" s="56" t="s">
        <v>7</v>
      </c>
      <c r="I6" s="56"/>
      <c r="J6" s="56"/>
      <c r="K6" s="52" t="s">
        <v>8</v>
      </c>
      <c r="L6" s="52"/>
      <c r="M6" s="57" t="s">
        <v>9</v>
      </c>
      <c r="N6" s="57"/>
      <c r="O6" s="57"/>
      <c r="P6" s="57"/>
      <c r="Q6" s="57"/>
    </row>
    <row r="7" spans="1:38" ht="15.75" x14ac:dyDescent="0.25">
      <c r="E7" s="52" t="s">
        <v>10</v>
      </c>
      <c r="F7" s="52"/>
      <c r="G7" s="52"/>
      <c r="H7" s="58"/>
      <c r="I7" s="58"/>
      <c r="J7" s="58"/>
      <c r="K7" s="52" t="s">
        <v>11</v>
      </c>
      <c r="L7" s="52"/>
      <c r="M7" s="57"/>
      <c r="N7" s="57"/>
      <c r="O7" s="57"/>
      <c r="P7" s="57"/>
      <c r="Q7" s="57"/>
    </row>
    <row r="9" spans="1:38" x14ac:dyDescent="0.25">
      <c r="A9" t="s">
        <v>12</v>
      </c>
    </row>
    <row r="10" spans="1:38" ht="26.25" x14ac:dyDescent="0.25">
      <c r="A10" s="24" t="s">
        <v>13</v>
      </c>
      <c r="B10" s="4" t="s">
        <v>14</v>
      </c>
      <c r="C10" s="4" t="s">
        <v>15</v>
      </c>
      <c r="D10" s="4" t="s">
        <v>16</v>
      </c>
      <c r="E10" s="5" t="s">
        <v>17</v>
      </c>
      <c r="F10" s="12" t="s">
        <v>132</v>
      </c>
      <c r="G10" s="13">
        <v>46054</v>
      </c>
      <c r="H10" s="13">
        <v>46055</v>
      </c>
      <c r="I10" s="13">
        <v>46056</v>
      </c>
      <c r="J10" s="13">
        <v>46057</v>
      </c>
      <c r="K10" s="13">
        <v>46058</v>
      </c>
      <c r="L10" s="13">
        <v>46059</v>
      </c>
      <c r="M10" s="13">
        <v>46060</v>
      </c>
      <c r="N10" s="13">
        <v>46061</v>
      </c>
      <c r="O10" s="13">
        <v>46062</v>
      </c>
      <c r="P10" s="13">
        <v>46063</v>
      </c>
      <c r="Q10" s="13">
        <v>46064</v>
      </c>
      <c r="R10" s="13">
        <v>46065</v>
      </c>
      <c r="S10" s="13">
        <v>46066</v>
      </c>
      <c r="T10" s="13">
        <v>46067</v>
      </c>
      <c r="U10" s="13">
        <v>46068</v>
      </c>
      <c r="V10" s="13">
        <v>46069</v>
      </c>
      <c r="W10" s="13">
        <v>46070</v>
      </c>
      <c r="X10" s="13">
        <v>46071</v>
      </c>
      <c r="Y10" s="13">
        <v>46072</v>
      </c>
      <c r="Z10" s="13">
        <v>46073</v>
      </c>
      <c r="AA10" s="13">
        <v>46074</v>
      </c>
      <c r="AB10" s="13">
        <v>46075</v>
      </c>
      <c r="AC10" s="13">
        <v>46076</v>
      </c>
      <c r="AD10" s="13">
        <v>46077</v>
      </c>
      <c r="AE10" s="13">
        <v>46078</v>
      </c>
      <c r="AF10" s="13">
        <v>46079</v>
      </c>
      <c r="AG10" s="13">
        <v>46080</v>
      </c>
      <c r="AH10" s="13">
        <v>46081</v>
      </c>
      <c r="AI10" s="12" t="s">
        <v>133</v>
      </c>
      <c r="AJ10" s="3" t="s">
        <v>18</v>
      </c>
      <c r="AK10" s="3" t="s">
        <v>19</v>
      </c>
      <c r="AL10" s="3" t="s">
        <v>20</v>
      </c>
    </row>
    <row r="11" spans="1:38" x14ac:dyDescent="0.25">
      <c r="A11" t="s">
        <v>127</v>
      </c>
      <c r="B11" s="20" t="s">
        <v>31</v>
      </c>
      <c r="C11" s="27" t="s">
        <v>32</v>
      </c>
      <c r="D11" s="11"/>
      <c r="E11" s="11"/>
      <c r="F11" s="41">
        <f>'Jan 2026'!AL11</f>
        <v>241</v>
      </c>
      <c r="G11" s="26"/>
      <c r="H11" s="26"/>
      <c r="I11" s="26"/>
      <c r="J11" s="26">
        <v>-21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40">
        <f t="shared" ref="AI11:AI22" si="0">F11+SUM(G11:AH11)</f>
        <v>220</v>
      </c>
    </row>
    <row r="12" spans="1:38" x14ac:dyDescent="0.25">
      <c r="A12" t="s">
        <v>128</v>
      </c>
      <c r="B12" s="20" t="s">
        <v>33</v>
      </c>
      <c r="C12" s="27" t="s">
        <v>34</v>
      </c>
      <c r="D12" s="11"/>
      <c r="E12" s="11"/>
      <c r="F12" s="41">
        <f>'Jan 2026'!AL12</f>
        <v>466</v>
      </c>
      <c r="G12" s="26"/>
      <c r="H12" s="26"/>
      <c r="I12" s="26"/>
      <c r="J12" s="26">
        <v>-2</v>
      </c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40">
        <f t="shared" si="0"/>
        <v>464</v>
      </c>
    </row>
    <row r="13" spans="1:38" x14ac:dyDescent="0.25">
      <c r="A13" t="s">
        <v>129</v>
      </c>
      <c r="B13" s="20" t="s">
        <v>35</v>
      </c>
      <c r="C13" s="27" t="s">
        <v>36</v>
      </c>
      <c r="D13" s="11"/>
      <c r="E13" s="11"/>
      <c r="F13" s="41">
        <f>'Jan 2026'!AL13</f>
        <v>338</v>
      </c>
      <c r="G13" s="26"/>
      <c r="H13" s="26">
        <f>-17+-6</f>
        <v>-23</v>
      </c>
      <c r="I13" s="26"/>
      <c r="J13" s="26">
        <f>-9+-16+-21</f>
        <v>-46</v>
      </c>
      <c r="K13" s="26"/>
      <c r="L13" s="26"/>
      <c r="M13" s="26"/>
      <c r="N13" s="26"/>
      <c r="O13" s="26">
        <v>-2</v>
      </c>
      <c r="P13" s="26"/>
      <c r="Q13" s="26"/>
      <c r="R13" s="26"/>
      <c r="S13" s="26">
        <v>-31</v>
      </c>
      <c r="T13" s="26"/>
      <c r="U13" s="26"/>
      <c r="V13" s="26"/>
      <c r="W13" s="26">
        <v>-36</v>
      </c>
      <c r="X13" s="26"/>
      <c r="Y13" s="26">
        <v>-132</v>
      </c>
      <c r="Z13" s="26"/>
      <c r="AA13" s="26"/>
      <c r="AB13" s="26"/>
      <c r="AC13" s="26">
        <v>-36</v>
      </c>
      <c r="AD13" s="26">
        <v>-22</v>
      </c>
      <c r="AE13" s="26"/>
      <c r="AF13" s="26"/>
      <c r="AG13" s="26">
        <v>-10</v>
      </c>
      <c r="AH13" s="26"/>
      <c r="AI13" s="40">
        <f t="shared" si="0"/>
        <v>0</v>
      </c>
    </row>
    <row r="14" spans="1:38" x14ac:dyDescent="0.25">
      <c r="B14" s="20" t="s">
        <v>37</v>
      </c>
      <c r="C14" s="27" t="s">
        <v>38</v>
      </c>
      <c r="D14" s="11"/>
      <c r="E14" s="11"/>
      <c r="F14" s="41">
        <f>'Jan 2026'!AL14</f>
        <v>1</v>
      </c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40">
        <f t="shared" si="0"/>
        <v>1</v>
      </c>
    </row>
    <row r="15" spans="1:38" x14ac:dyDescent="0.25">
      <c r="B15" s="20" t="s">
        <v>39</v>
      </c>
      <c r="C15" s="27" t="s">
        <v>40</v>
      </c>
      <c r="D15" s="11"/>
      <c r="E15" s="11"/>
      <c r="F15" s="41">
        <f>'Jan 2026'!AL15</f>
        <v>2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40">
        <f t="shared" si="0"/>
        <v>2</v>
      </c>
    </row>
    <row r="16" spans="1:38" x14ac:dyDescent="0.25">
      <c r="A16" t="s">
        <v>129</v>
      </c>
      <c r="B16" s="20" t="s">
        <v>41</v>
      </c>
      <c r="C16" s="27" t="s">
        <v>42</v>
      </c>
      <c r="D16" s="11"/>
      <c r="E16" s="11"/>
      <c r="F16" s="41">
        <f>'Jan 2026'!AL16</f>
        <v>35</v>
      </c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40">
        <f t="shared" si="0"/>
        <v>35</v>
      </c>
    </row>
    <row r="17" spans="1:35" x14ac:dyDescent="0.25">
      <c r="A17" t="s">
        <v>129</v>
      </c>
      <c r="B17" s="20" t="s">
        <v>43</v>
      </c>
      <c r="C17" s="27" t="s">
        <v>44</v>
      </c>
      <c r="D17" s="11"/>
      <c r="E17" s="11"/>
      <c r="F17" s="41">
        <f>'Jan 2026'!AL17</f>
        <v>5</v>
      </c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40">
        <f t="shared" si="0"/>
        <v>5</v>
      </c>
    </row>
    <row r="18" spans="1:35" x14ac:dyDescent="0.25">
      <c r="A18" t="s">
        <v>129</v>
      </c>
      <c r="B18" s="20" t="s">
        <v>45</v>
      </c>
      <c r="C18" s="27" t="s">
        <v>46</v>
      </c>
      <c r="D18" s="11"/>
      <c r="E18" s="11"/>
      <c r="F18" s="41">
        <f>'Jan 2026'!AL18</f>
        <v>0</v>
      </c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40">
        <f t="shared" si="0"/>
        <v>0</v>
      </c>
    </row>
    <row r="19" spans="1:35" x14ac:dyDescent="0.25">
      <c r="A19" t="s">
        <v>129</v>
      </c>
      <c r="B19" s="20" t="s">
        <v>47</v>
      </c>
      <c r="C19" s="27" t="s">
        <v>48</v>
      </c>
      <c r="D19" s="11"/>
      <c r="E19" s="11"/>
      <c r="F19" s="41">
        <f>'Jan 2026'!AL19</f>
        <v>20</v>
      </c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40">
        <f t="shared" si="0"/>
        <v>20</v>
      </c>
    </row>
    <row r="20" spans="1:35" x14ac:dyDescent="0.25">
      <c r="B20" s="20" t="s">
        <v>49</v>
      </c>
      <c r="C20" s="27" t="s">
        <v>50</v>
      </c>
      <c r="D20" s="11"/>
      <c r="E20" s="11"/>
      <c r="F20" s="41">
        <f>'Jan 2026'!AL20</f>
        <v>0</v>
      </c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40">
        <f t="shared" si="0"/>
        <v>0</v>
      </c>
    </row>
    <row r="21" spans="1:35" x14ac:dyDescent="0.25">
      <c r="B21" s="20" t="s">
        <v>51</v>
      </c>
      <c r="C21" s="27" t="s">
        <v>52</v>
      </c>
      <c r="D21" s="11"/>
      <c r="E21" s="11"/>
      <c r="F21" s="41">
        <f>'Jan 2026'!AL21</f>
        <v>0</v>
      </c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40">
        <f t="shared" si="0"/>
        <v>0</v>
      </c>
    </row>
    <row r="22" spans="1:35" x14ac:dyDescent="0.25">
      <c r="A22" t="s">
        <v>130</v>
      </c>
      <c r="B22" s="20" t="s">
        <v>53</v>
      </c>
      <c r="C22" s="27" t="s">
        <v>54</v>
      </c>
      <c r="D22" s="11"/>
      <c r="E22" s="11"/>
      <c r="F22" s="41">
        <f>'Jan 2026'!AL22</f>
        <v>5</v>
      </c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40">
        <f t="shared" si="0"/>
        <v>5</v>
      </c>
    </row>
    <row r="23" spans="1:35" x14ac:dyDescent="0.25">
      <c r="A23" t="s">
        <v>130</v>
      </c>
      <c r="B23" s="20" t="s">
        <v>55</v>
      </c>
      <c r="C23" s="27" t="s">
        <v>56</v>
      </c>
      <c r="D23" s="11"/>
      <c r="E23" s="11"/>
      <c r="F23" s="41">
        <f>'Jan 2026'!AL23</f>
        <v>22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>
        <v>-18</v>
      </c>
      <c r="AE23" s="26"/>
      <c r="AF23" s="26"/>
      <c r="AG23" s="26"/>
      <c r="AH23" s="26"/>
      <c r="AI23" s="40">
        <f t="shared" ref="AI23:AI59" si="1">F23+SUM(G23:AH23)</f>
        <v>4</v>
      </c>
    </row>
    <row r="24" spans="1:35" x14ac:dyDescent="0.25">
      <c r="B24" s="20" t="s">
        <v>57</v>
      </c>
      <c r="C24" s="27" t="s">
        <v>58</v>
      </c>
      <c r="D24" s="11"/>
      <c r="E24" s="11"/>
      <c r="F24" s="41">
        <f>'Jan 2026'!AL24</f>
        <v>11</v>
      </c>
      <c r="G24" s="26"/>
      <c r="H24" s="26"/>
      <c r="I24" s="26">
        <v>-1</v>
      </c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40">
        <f t="shared" si="1"/>
        <v>10</v>
      </c>
    </row>
    <row r="25" spans="1:35" x14ac:dyDescent="0.25">
      <c r="A25" t="s">
        <v>130</v>
      </c>
      <c r="B25" s="20" t="s">
        <v>59</v>
      </c>
      <c r="C25" s="27" t="s">
        <v>60</v>
      </c>
      <c r="D25" s="11"/>
      <c r="E25" s="11"/>
      <c r="F25" s="41">
        <f>'Jan 2026'!AL25</f>
        <v>199</v>
      </c>
      <c r="G25" s="26"/>
      <c r="H25" s="26"/>
      <c r="I25" s="26"/>
      <c r="J25" s="26">
        <f>-8+-8+-10</f>
        <v>-26</v>
      </c>
      <c r="K25" s="26">
        <v>-9</v>
      </c>
      <c r="L25" s="26"/>
      <c r="M25" s="26"/>
      <c r="N25" s="26"/>
      <c r="O25" s="26">
        <v>-7</v>
      </c>
      <c r="P25" s="26"/>
      <c r="Q25" s="26"/>
      <c r="R25" s="26"/>
      <c r="S25" s="26">
        <f>-15+-15</f>
        <v>-30</v>
      </c>
      <c r="T25" s="26"/>
      <c r="U25" s="26"/>
      <c r="V25" s="26"/>
      <c r="W25" s="26"/>
      <c r="X25" s="26"/>
      <c r="Y25" s="26"/>
      <c r="Z25" s="26">
        <v>-127</v>
      </c>
      <c r="AA25" s="26"/>
      <c r="AB25" s="26"/>
      <c r="AC25" s="26"/>
      <c r="AD25" s="26"/>
      <c r="AE25" s="26"/>
      <c r="AF25" s="26"/>
      <c r="AG25" s="26"/>
      <c r="AH25" s="26"/>
      <c r="AI25" s="40">
        <f t="shared" si="1"/>
        <v>0</v>
      </c>
    </row>
    <row r="26" spans="1:35" x14ac:dyDescent="0.25">
      <c r="A26" t="s">
        <v>128</v>
      </c>
      <c r="B26" s="20" t="s">
        <v>61</v>
      </c>
      <c r="C26" s="27" t="s">
        <v>62</v>
      </c>
      <c r="D26" s="11"/>
      <c r="E26" s="11"/>
      <c r="F26" s="41">
        <f>'Jan 2026'!AL26</f>
        <v>293</v>
      </c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>
        <v>-12</v>
      </c>
      <c r="AA26" s="26"/>
      <c r="AB26" s="26"/>
      <c r="AC26" s="26"/>
      <c r="AD26" s="26"/>
      <c r="AE26" s="26"/>
      <c r="AF26" s="26"/>
      <c r="AG26" s="26"/>
      <c r="AH26" s="26"/>
      <c r="AI26" s="40">
        <f t="shared" si="1"/>
        <v>281</v>
      </c>
    </row>
    <row r="27" spans="1:35" x14ac:dyDescent="0.25">
      <c r="B27" s="20" t="s">
        <v>63</v>
      </c>
      <c r="C27" s="27" t="s">
        <v>64</v>
      </c>
      <c r="D27" s="11"/>
      <c r="E27" s="11"/>
      <c r="F27" s="41">
        <f>'Jan 2026'!AL27</f>
        <v>12</v>
      </c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40">
        <f t="shared" si="1"/>
        <v>12</v>
      </c>
    </row>
    <row r="28" spans="1:35" x14ac:dyDescent="0.25">
      <c r="A28" t="s">
        <v>131</v>
      </c>
      <c r="B28" s="20" t="s">
        <v>65</v>
      </c>
      <c r="C28" s="27" t="s">
        <v>66</v>
      </c>
      <c r="D28" s="11"/>
      <c r="E28" s="11"/>
      <c r="F28" s="41">
        <f>'Jan 2026'!AL28</f>
        <v>11</v>
      </c>
      <c r="G28" s="26"/>
      <c r="H28" s="26"/>
      <c r="I28" s="26"/>
      <c r="J28" s="26"/>
      <c r="K28" s="26"/>
      <c r="L28" s="26"/>
      <c r="M28" s="26">
        <v>-5</v>
      </c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>
        <v>-2</v>
      </c>
      <c r="AA28" s="26"/>
      <c r="AB28" s="26"/>
      <c r="AC28" s="26"/>
      <c r="AD28" s="26"/>
      <c r="AE28" s="26"/>
      <c r="AF28" s="26"/>
      <c r="AG28" s="26"/>
      <c r="AH28" s="26"/>
      <c r="AI28" s="40">
        <f t="shared" si="1"/>
        <v>4</v>
      </c>
    </row>
    <row r="29" spans="1:35" x14ac:dyDescent="0.25">
      <c r="A29" t="s">
        <v>127</v>
      </c>
      <c r="B29" s="20" t="s">
        <v>67</v>
      </c>
      <c r="C29" s="27" t="s">
        <v>68</v>
      </c>
      <c r="D29" s="11"/>
      <c r="E29" s="11"/>
      <c r="F29" s="41">
        <f>'Jan 2026'!AL29</f>
        <v>292</v>
      </c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40">
        <f t="shared" si="1"/>
        <v>292</v>
      </c>
    </row>
    <row r="30" spans="1:35" x14ac:dyDescent="0.25">
      <c r="B30" s="20" t="s">
        <v>69</v>
      </c>
      <c r="C30" s="27" t="s">
        <v>70</v>
      </c>
      <c r="D30" s="11"/>
      <c r="E30" s="11"/>
      <c r="F30" s="41">
        <f>'Jan 2026'!AL30</f>
        <v>0</v>
      </c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40">
        <f t="shared" si="1"/>
        <v>0</v>
      </c>
    </row>
    <row r="31" spans="1:35" x14ac:dyDescent="0.25">
      <c r="B31" s="20" t="s">
        <v>71</v>
      </c>
      <c r="C31" s="27" t="s">
        <v>72</v>
      </c>
      <c r="D31" s="11"/>
      <c r="E31" s="11"/>
      <c r="F31" s="41">
        <f>'Jan 2026'!AL31</f>
        <v>0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40">
        <f t="shared" si="1"/>
        <v>0</v>
      </c>
    </row>
    <row r="32" spans="1:35" x14ac:dyDescent="0.25">
      <c r="B32" s="20" t="s">
        <v>73</v>
      </c>
      <c r="C32" s="27" t="s">
        <v>74</v>
      </c>
      <c r="D32" s="11"/>
      <c r="E32" s="11"/>
      <c r="F32" s="41">
        <f>'Jan 2026'!AL32</f>
        <v>50</v>
      </c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40">
        <f t="shared" si="1"/>
        <v>50</v>
      </c>
    </row>
    <row r="33" spans="2:35" x14ac:dyDescent="0.25">
      <c r="B33" s="20" t="s">
        <v>75</v>
      </c>
      <c r="C33" s="27" t="s">
        <v>76</v>
      </c>
      <c r="D33" s="11"/>
      <c r="E33" s="11"/>
      <c r="F33" s="41">
        <f>'Jan 2026'!AL33</f>
        <v>0</v>
      </c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40">
        <f t="shared" si="1"/>
        <v>0</v>
      </c>
    </row>
    <row r="34" spans="2:35" x14ac:dyDescent="0.25">
      <c r="B34" s="20" t="s">
        <v>77</v>
      </c>
      <c r="C34" s="27" t="s">
        <v>78</v>
      </c>
      <c r="D34" s="11"/>
      <c r="E34" s="11"/>
      <c r="F34" s="41">
        <f>'Jan 2026'!AL34</f>
        <v>0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40">
        <f t="shared" si="1"/>
        <v>0</v>
      </c>
    </row>
    <row r="35" spans="2:35" x14ac:dyDescent="0.25">
      <c r="B35" s="20" t="s">
        <v>79</v>
      </c>
      <c r="C35" s="27" t="s">
        <v>80</v>
      </c>
      <c r="D35" s="11"/>
      <c r="E35" s="11"/>
      <c r="F35" s="41">
        <f>'Jan 2026'!AL35</f>
        <v>0</v>
      </c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40">
        <f t="shared" si="1"/>
        <v>0</v>
      </c>
    </row>
    <row r="36" spans="2:35" x14ac:dyDescent="0.25">
      <c r="B36" s="20" t="s">
        <v>81</v>
      </c>
      <c r="C36" s="27" t="s">
        <v>82</v>
      </c>
      <c r="D36" s="11"/>
      <c r="E36" s="11"/>
      <c r="F36" s="41">
        <f>'Jan 2026'!AL36</f>
        <v>191</v>
      </c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>
        <f>-23+-6</f>
        <v>-29</v>
      </c>
      <c r="Y36" s="26">
        <v>-4</v>
      </c>
      <c r="Z36" s="26"/>
      <c r="AA36" s="26"/>
      <c r="AB36" s="26"/>
      <c r="AC36" s="26">
        <v>-22</v>
      </c>
      <c r="AD36" s="26"/>
      <c r="AE36" s="26"/>
      <c r="AF36" s="26"/>
      <c r="AG36" s="26"/>
      <c r="AH36" s="26"/>
      <c r="AI36" s="40">
        <f t="shared" si="1"/>
        <v>136</v>
      </c>
    </row>
    <row r="37" spans="2:35" x14ac:dyDescent="0.25">
      <c r="B37" s="20" t="s">
        <v>83</v>
      </c>
      <c r="C37" s="27" t="s">
        <v>84</v>
      </c>
      <c r="D37" s="11"/>
      <c r="E37" s="11"/>
      <c r="F37" s="41">
        <f>'Jan 2026'!AL37</f>
        <v>0</v>
      </c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40">
        <f t="shared" si="1"/>
        <v>0</v>
      </c>
    </row>
    <row r="38" spans="2:35" x14ac:dyDescent="0.25">
      <c r="B38" s="20" t="s">
        <v>85</v>
      </c>
      <c r="C38" s="27" t="s">
        <v>86</v>
      </c>
      <c r="D38" s="11"/>
      <c r="E38" s="11"/>
      <c r="F38" s="41">
        <f>'Jan 2026'!AL38</f>
        <v>88</v>
      </c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40">
        <f t="shared" si="1"/>
        <v>88</v>
      </c>
    </row>
    <row r="39" spans="2:35" x14ac:dyDescent="0.25">
      <c r="B39" s="20" t="s">
        <v>87</v>
      </c>
      <c r="C39" s="27" t="s">
        <v>88</v>
      </c>
      <c r="D39" s="11"/>
      <c r="E39" s="11"/>
      <c r="F39" s="41">
        <f>'Jan 2026'!AL39</f>
        <v>0</v>
      </c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40">
        <f t="shared" si="1"/>
        <v>0</v>
      </c>
    </row>
    <row r="40" spans="2:35" x14ac:dyDescent="0.25">
      <c r="B40" s="20" t="s">
        <v>89</v>
      </c>
      <c r="C40" s="27" t="s">
        <v>90</v>
      </c>
      <c r="D40" s="11"/>
      <c r="E40" s="11"/>
      <c r="F40" s="41">
        <f>'Jan 2026'!AL40</f>
        <v>0</v>
      </c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40">
        <f t="shared" si="1"/>
        <v>0</v>
      </c>
    </row>
    <row r="41" spans="2:35" x14ac:dyDescent="0.25">
      <c r="B41" s="20" t="s">
        <v>91</v>
      </c>
      <c r="C41" s="27" t="s">
        <v>92</v>
      </c>
      <c r="D41" s="11"/>
      <c r="E41" s="11"/>
      <c r="F41" s="41">
        <f>'Jan 2026'!AL41</f>
        <v>513</v>
      </c>
      <c r="G41" s="26"/>
      <c r="H41" s="26">
        <f>-17+-6</f>
        <v>-23</v>
      </c>
      <c r="I41" s="26"/>
      <c r="J41" s="26">
        <f>-9+-16</f>
        <v>-25</v>
      </c>
      <c r="K41" s="26"/>
      <c r="L41" s="26"/>
      <c r="M41" s="26"/>
      <c r="N41" s="26"/>
      <c r="O41" s="26">
        <v>-2</v>
      </c>
      <c r="P41" s="26"/>
      <c r="Q41" s="26"/>
      <c r="R41" s="26"/>
      <c r="S41" s="26">
        <v>-31</v>
      </c>
      <c r="T41" s="26"/>
      <c r="U41" s="26"/>
      <c r="V41" s="26"/>
      <c r="W41" s="26">
        <f>-36+-16</f>
        <v>-52</v>
      </c>
      <c r="X41" s="26"/>
      <c r="Y41" s="26">
        <f>-1+-21</f>
        <v>-22</v>
      </c>
      <c r="Z41" s="26">
        <v>-18</v>
      </c>
      <c r="AA41" s="26"/>
      <c r="AB41" s="26"/>
      <c r="AC41" s="26">
        <v>-36</v>
      </c>
      <c r="AD41" s="26">
        <v>-22</v>
      </c>
      <c r="AE41" s="26">
        <v>-220</v>
      </c>
      <c r="AF41" s="26"/>
      <c r="AG41" s="26">
        <v>-81</v>
      </c>
      <c r="AH41" s="26"/>
      <c r="AI41" s="40">
        <f t="shared" si="1"/>
        <v>-19</v>
      </c>
    </row>
    <row r="42" spans="2:35" x14ac:dyDescent="0.25">
      <c r="B42" s="20" t="s">
        <v>93</v>
      </c>
      <c r="C42" s="27" t="s">
        <v>94</v>
      </c>
      <c r="D42" s="11"/>
      <c r="E42" s="11"/>
      <c r="F42" s="41">
        <f>'Jan 2026'!AL42</f>
        <v>0</v>
      </c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35">
        <v>70</v>
      </c>
      <c r="Y42" s="26">
        <v>-69</v>
      </c>
      <c r="Z42" s="26"/>
      <c r="AA42" s="26"/>
      <c r="AB42" s="26"/>
      <c r="AC42" s="26"/>
      <c r="AD42" s="26"/>
      <c r="AE42" s="26"/>
      <c r="AF42" s="26"/>
      <c r="AG42" s="26"/>
      <c r="AH42" s="26"/>
      <c r="AI42" s="40">
        <f t="shared" si="1"/>
        <v>1</v>
      </c>
    </row>
    <row r="43" spans="2:35" x14ac:dyDescent="0.25">
      <c r="B43" s="20" t="s">
        <v>95</v>
      </c>
      <c r="C43" s="27" t="s">
        <v>96</v>
      </c>
      <c r="D43" s="11"/>
      <c r="E43" s="11"/>
      <c r="F43" s="41">
        <f>'Jan 2026'!AL43</f>
        <v>2</v>
      </c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40">
        <f t="shared" si="1"/>
        <v>2</v>
      </c>
    </row>
    <row r="44" spans="2:35" x14ac:dyDescent="0.25">
      <c r="B44" s="20" t="s">
        <v>97</v>
      </c>
      <c r="C44" s="27" t="s">
        <v>98</v>
      </c>
      <c r="D44" s="11"/>
      <c r="E44" s="11"/>
      <c r="F44" s="41">
        <f>'Jan 2026'!AL44</f>
        <v>106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40">
        <f t="shared" si="1"/>
        <v>106</v>
      </c>
    </row>
    <row r="45" spans="2:35" x14ac:dyDescent="0.25">
      <c r="B45" s="20" t="s">
        <v>99</v>
      </c>
      <c r="C45" s="27" t="s">
        <v>100</v>
      </c>
      <c r="D45" s="11"/>
      <c r="E45" s="11"/>
      <c r="F45" s="41">
        <f>'Jan 2026'!AL45</f>
        <v>2</v>
      </c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40">
        <f t="shared" si="1"/>
        <v>2</v>
      </c>
    </row>
    <row r="46" spans="2:35" x14ac:dyDescent="0.25">
      <c r="B46" s="20" t="s">
        <v>101</v>
      </c>
      <c r="C46" s="27" t="s">
        <v>102</v>
      </c>
      <c r="D46" s="11"/>
      <c r="E46" s="11"/>
      <c r="F46" s="41">
        <f>'Jan 2026'!AL46</f>
        <v>0</v>
      </c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40">
        <f t="shared" si="1"/>
        <v>0</v>
      </c>
    </row>
    <row r="47" spans="2:35" x14ac:dyDescent="0.25">
      <c r="B47" s="20" t="s">
        <v>103</v>
      </c>
      <c r="C47" s="27" t="s">
        <v>104</v>
      </c>
      <c r="D47" s="11"/>
      <c r="E47" s="11"/>
      <c r="F47" s="41">
        <f>'Jan 2026'!AL47</f>
        <v>153</v>
      </c>
      <c r="G47" s="26"/>
      <c r="H47" s="26"/>
      <c r="I47" s="26">
        <v>-1</v>
      </c>
      <c r="J47" s="26"/>
      <c r="K47" s="26"/>
      <c r="L47" s="26"/>
      <c r="M47" s="26">
        <v>-10</v>
      </c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>
        <v>-11</v>
      </c>
      <c r="AA47" s="26"/>
      <c r="AB47" s="26"/>
      <c r="AC47" s="26"/>
      <c r="AD47" s="26"/>
      <c r="AE47" s="26"/>
      <c r="AF47" s="26"/>
      <c r="AG47" s="26"/>
      <c r="AH47" s="26"/>
      <c r="AI47" s="40">
        <f t="shared" si="1"/>
        <v>131</v>
      </c>
    </row>
    <row r="48" spans="2:35" x14ac:dyDescent="0.25">
      <c r="B48" s="20"/>
      <c r="C48" s="27" t="s">
        <v>105</v>
      </c>
      <c r="D48" s="11"/>
      <c r="E48" s="11"/>
      <c r="F48" s="41">
        <f>'Jan 2026'!AL48</f>
        <v>0</v>
      </c>
      <c r="G48" s="26"/>
      <c r="H48" s="26"/>
      <c r="I48" s="34">
        <v>25</v>
      </c>
      <c r="J48" s="26"/>
      <c r="K48" s="26"/>
      <c r="L48" s="26"/>
      <c r="M48" s="26">
        <v>-25</v>
      </c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40">
        <f t="shared" si="1"/>
        <v>0</v>
      </c>
    </row>
    <row r="49" spans="1:38" x14ac:dyDescent="0.25">
      <c r="B49" s="20" t="s">
        <v>106</v>
      </c>
      <c r="C49" s="27" t="s">
        <v>107</v>
      </c>
      <c r="D49" s="11"/>
      <c r="E49" s="11"/>
      <c r="F49" s="41">
        <f>'Jan 2026'!AL49</f>
        <v>81</v>
      </c>
      <c r="G49" s="26"/>
      <c r="H49" s="26"/>
      <c r="I49" s="26"/>
      <c r="J49" s="26"/>
      <c r="K49" s="26"/>
      <c r="L49" s="26">
        <v>-56</v>
      </c>
      <c r="M49" s="26"/>
      <c r="N49" s="34">
        <v>1850</v>
      </c>
      <c r="O49" s="26">
        <v>-2</v>
      </c>
      <c r="P49" s="26">
        <v>-17</v>
      </c>
      <c r="Q49" s="26">
        <v>-34</v>
      </c>
      <c r="R49" s="26"/>
      <c r="S49" s="26">
        <v>-31</v>
      </c>
      <c r="T49" s="26"/>
      <c r="U49" s="26"/>
      <c r="V49" s="26"/>
      <c r="W49" s="26">
        <f>-36+-16</f>
        <v>-52</v>
      </c>
      <c r="X49" s="26"/>
      <c r="Y49" s="26">
        <f>-1+-21+-4</f>
        <v>-26</v>
      </c>
      <c r="Z49" s="26">
        <v>-18</v>
      </c>
      <c r="AA49" s="26">
        <v>-200</v>
      </c>
      <c r="AB49" s="26"/>
      <c r="AC49" s="26">
        <v>-36</v>
      </c>
      <c r="AD49" s="26">
        <v>-22</v>
      </c>
      <c r="AE49" s="26"/>
      <c r="AF49" s="26"/>
      <c r="AG49" s="26">
        <f>-200+-87</f>
        <v>-287</v>
      </c>
      <c r="AH49" s="26">
        <v>-8</v>
      </c>
      <c r="AI49" s="40">
        <f t="shared" si="1"/>
        <v>1142</v>
      </c>
    </row>
    <row r="50" spans="1:38" x14ac:dyDescent="0.25">
      <c r="B50" s="20" t="s">
        <v>108</v>
      </c>
      <c r="C50" s="27" t="s">
        <v>109</v>
      </c>
      <c r="D50" s="11"/>
      <c r="E50" s="11"/>
      <c r="F50" s="41">
        <f>'Jan 2026'!AL50</f>
        <v>0</v>
      </c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40">
        <f t="shared" si="1"/>
        <v>0</v>
      </c>
    </row>
    <row r="51" spans="1:38" x14ac:dyDescent="0.25">
      <c r="B51" s="20" t="s">
        <v>110</v>
      </c>
      <c r="C51" s="27" t="s">
        <v>111</v>
      </c>
      <c r="D51" s="11"/>
      <c r="E51" s="11"/>
      <c r="F51" s="41">
        <f>'Jan 2026'!AL51</f>
        <v>3</v>
      </c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40">
        <f t="shared" si="1"/>
        <v>3</v>
      </c>
    </row>
    <row r="52" spans="1:38" x14ac:dyDescent="0.25">
      <c r="B52" s="20" t="s">
        <v>112</v>
      </c>
      <c r="C52" s="27" t="s">
        <v>113</v>
      </c>
      <c r="D52" s="11"/>
      <c r="E52" s="11"/>
      <c r="F52" s="41">
        <f>'Jan 2026'!AL52</f>
        <v>0</v>
      </c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40">
        <f t="shared" si="1"/>
        <v>0</v>
      </c>
    </row>
    <row r="53" spans="1:38" x14ac:dyDescent="0.25">
      <c r="B53" s="25"/>
      <c r="C53" s="27" t="s">
        <v>114</v>
      </c>
      <c r="D53" s="11"/>
      <c r="E53" s="11"/>
      <c r="F53" s="41">
        <f>'Jan 2026'!AL53</f>
        <v>1</v>
      </c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>
        <v>-1</v>
      </c>
      <c r="AE53" s="26"/>
      <c r="AF53" s="26"/>
      <c r="AG53" s="26"/>
      <c r="AH53" s="26"/>
      <c r="AI53" s="40">
        <f t="shared" si="1"/>
        <v>0</v>
      </c>
    </row>
    <row r="54" spans="1:38" x14ac:dyDescent="0.25">
      <c r="B54" s="20" t="s">
        <v>115</v>
      </c>
      <c r="C54" s="27" t="s">
        <v>116</v>
      </c>
      <c r="D54" s="11"/>
      <c r="E54" s="11"/>
      <c r="F54" s="41">
        <f>'Jan 2026'!AL54</f>
        <v>64</v>
      </c>
      <c r="G54" s="26"/>
      <c r="H54" s="26"/>
      <c r="I54" s="26">
        <v>-1</v>
      </c>
      <c r="J54" s="26"/>
      <c r="K54" s="26"/>
      <c r="L54" s="26"/>
      <c r="M54" s="26">
        <v>-5</v>
      </c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>
        <v>-13</v>
      </c>
      <c r="AA54" s="26"/>
      <c r="AB54" s="26"/>
      <c r="AC54" s="26"/>
      <c r="AD54" s="26"/>
      <c r="AE54" s="26"/>
      <c r="AF54" s="26"/>
      <c r="AG54" s="26"/>
      <c r="AH54" s="26"/>
      <c r="AI54" s="40">
        <f t="shared" si="1"/>
        <v>45</v>
      </c>
    </row>
    <row r="55" spans="1:38" x14ac:dyDescent="0.25">
      <c r="B55" s="20" t="s">
        <v>117</v>
      </c>
      <c r="C55" s="27" t="s">
        <v>118</v>
      </c>
      <c r="D55" s="11"/>
      <c r="E55" s="11"/>
      <c r="F55" s="41">
        <f>'Jan 2026'!AL55</f>
        <v>40</v>
      </c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40">
        <f t="shared" si="1"/>
        <v>40</v>
      </c>
    </row>
    <row r="56" spans="1:38" x14ac:dyDescent="0.25">
      <c r="B56" s="20" t="s">
        <v>119</v>
      </c>
      <c r="C56" s="27" t="s">
        <v>120</v>
      </c>
      <c r="D56" s="11"/>
      <c r="E56" s="11"/>
      <c r="F56" s="41">
        <f>'Jan 2026'!AL56</f>
        <v>16</v>
      </c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40">
        <f t="shared" si="1"/>
        <v>16</v>
      </c>
    </row>
    <row r="57" spans="1:38" x14ac:dyDescent="0.25">
      <c r="B57" s="20" t="s">
        <v>121</v>
      </c>
      <c r="C57" s="28" t="s">
        <v>122</v>
      </c>
      <c r="D57" s="11"/>
      <c r="E57" s="11"/>
      <c r="F57" s="41">
        <f>'Jan 2026'!AL57</f>
        <v>290</v>
      </c>
      <c r="G57" s="26"/>
      <c r="H57" s="26"/>
      <c r="I57" s="26"/>
      <c r="J57" s="26">
        <f>-8+-10</f>
        <v>-18</v>
      </c>
      <c r="K57" s="26">
        <v>-9</v>
      </c>
      <c r="L57" s="26"/>
      <c r="M57" s="26">
        <v>-25</v>
      </c>
      <c r="N57" s="26"/>
      <c r="O57" s="26"/>
      <c r="P57" s="26"/>
      <c r="Q57" s="26"/>
      <c r="R57" s="26"/>
      <c r="S57" s="26">
        <v>-15</v>
      </c>
      <c r="T57" s="26"/>
      <c r="U57" s="26"/>
      <c r="V57" s="26"/>
      <c r="W57" s="26"/>
      <c r="X57" s="26"/>
      <c r="Y57" s="26">
        <v>-1</v>
      </c>
      <c r="Z57" s="26">
        <f>-22+-12</f>
        <v>-34</v>
      </c>
      <c r="AA57" s="26">
        <f>-20+-78</f>
        <v>-98</v>
      </c>
      <c r="AB57" s="26"/>
      <c r="AC57" s="26"/>
      <c r="AD57" s="26">
        <v>-22</v>
      </c>
      <c r="AE57" s="26"/>
      <c r="AF57" s="26"/>
      <c r="AG57" s="26"/>
      <c r="AH57" s="26"/>
      <c r="AI57" s="40">
        <f t="shared" si="1"/>
        <v>68</v>
      </c>
    </row>
    <row r="58" spans="1:38" x14ac:dyDescent="0.25">
      <c r="B58" s="20" t="s">
        <v>123</v>
      </c>
      <c r="C58" s="27" t="s">
        <v>124</v>
      </c>
      <c r="D58" s="11"/>
      <c r="E58" s="11"/>
      <c r="F58" s="41">
        <f>'Jan 2026'!AL58</f>
        <v>43</v>
      </c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40">
        <f t="shared" si="1"/>
        <v>43</v>
      </c>
    </row>
    <row r="59" spans="1:38" x14ac:dyDescent="0.25">
      <c r="B59" s="20" t="s">
        <v>125</v>
      </c>
      <c r="C59" s="27" t="s">
        <v>126</v>
      </c>
      <c r="D59" s="11"/>
      <c r="E59" s="11"/>
      <c r="F59" s="41">
        <f>'Jan 2026'!AL59</f>
        <v>215</v>
      </c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>
        <v>-10</v>
      </c>
      <c r="AI59" s="40">
        <f t="shared" si="1"/>
        <v>205</v>
      </c>
    </row>
    <row r="60" spans="1:38" ht="15.75" thickBot="1" x14ac:dyDescent="0.3">
      <c r="A60" s="1"/>
      <c r="B60" s="2"/>
      <c r="C60" s="2"/>
      <c r="D60" s="32"/>
      <c r="E60" s="33"/>
      <c r="F60" s="33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29">
        <f>F60+SUM(G60:AH60)</f>
        <v>0</v>
      </c>
      <c r="AJ60" s="1"/>
      <c r="AK60" s="1"/>
      <c r="AL60" s="1"/>
    </row>
    <row r="61" spans="1:38" ht="32.25" thickBot="1" x14ac:dyDescent="0.3">
      <c r="A61" s="1"/>
      <c r="B61" s="6" t="s">
        <v>21</v>
      </c>
      <c r="C61" s="18"/>
      <c r="D61" s="19"/>
      <c r="E61" s="9" t="s">
        <v>22</v>
      </c>
      <c r="F61" s="22" t="s">
        <v>23</v>
      </c>
      <c r="G61" s="30" t="s">
        <v>24</v>
      </c>
      <c r="H61" s="3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6.5" thickBot="1" x14ac:dyDescent="0.3">
      <c r="A62" s="1"/>
      <c r="B62" s="7" t="s">
        <v>25</v>
      </c>
      <c r="C62" s="19"/>
      <c r="D62" s="19"/>
      <c r="E62" s="8"/>
      <c r="F62" s="21"/>
      <c r="G62" s="59"/>
      <c r="H62" s="60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32.25" thickBot="1" x14ac:dyDescent="0.3">
      <c r="A63" s="1"/>
      <c r="B63" s="7" t="s">
        <v>26</v>
      </c>
      <c r="C63" s="19"/>
      <c r="D63" s="19"/>
      <c r="E63" s="9"/>
      <c r="F63" s="22"/>
      <c r="G63" s="61"/>
      <c r="H63" s="6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6.5" thickBot="1" x14ac:dyDescent="0.3">
      <c r="A64" s="1"/>
      <c r="B64" s="7" t="s">
        <v>27</v>
      </c>
      <c r="C64" s="19"/>
      <c r="D64" s="19"/>
      <c r="E64" s="10"/>
      <c r="F64" s="23"/>
      <c r="G64" s="63"/>
      <c r="H64" s="6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x14ac:dyDescent="0.25">
      <c r="A65" s="1"/>
      <c r="B65" s="65" t="s">
        <v>28</v>
      </c>
      <c r="C65" s="16"/>
      <c r="D65" s="16"/>
      <c r="E65" s="68"/>
      <c r="F65" s="71"/>
      <c r="G65" s="74"/>
      <c r="H65" s="7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x14ac:dyDescent="0.25">
      <c r="A66" s="1"/>
      <c r="B66" s="66"/>
      <c r="C66" s="17"/>
      <c r="D66" s="17"/>
      <c r="E66" s="69"/>
      <c r="F66" s="72"/>
      <c r="G66" s="74"/>
      <c r="H66" s="7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6.5" thickBot="1" x14ac:dyDescent="0.3">
      <c r="A67" s="1"/>
      <c r="B67" s="67"/>
      <c r="C67" s="7"/>
      <c r="D67" s="7"/>
      <c r="E67" s="70"/>
      <c r="F67" s="73"/>
      <c r="G67" s="76"/>
      <c r="H67" s="7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x14ac:dyDescent="0.25">
      <c r="A68" s="1"/>
      <c r="B68" s="2"/>
      <c r="C68" s="2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</sheetData>
  <mergeCells count="24">
    <mergeCell ref="G62:H62"/>
    <mergeCell ref="G63:H63"/>
    <mergeCell ref="G64:H64"/>
    <mergeCell ref="B65:B67"/>
    <mergeCell ref="E65:E67"/>
    <mergeCell ref="F65:F67"/>
    <mergeCell ref="G65:H67"/>
    <mergeCell ref="E6:G6"/>
    <mergeCell ref="H6:J6"/>
    <mergeCell ref="K6:L6"/>
    <mergeCell ref="M6:Q6"/>
    <mergeCell ref="E7:G7"/>
    <mergeCell ref="H7:J7"/>
    <mergeCell ref="K7:L7"/>
    <mergeCell ref="M7:Q7"/>
    <mergeCell ref="E1:Q1"/>
    <mergeCell ref="E2:Q2"/>
    <mergeCell ref="E3:Q3"/>
    <mergeCell ref="E4:Q4"/>
    <mergeCell ref="E5:G5"/>
    <mergeCell ref="H5:J5"/>
    <mergeCell ref="K5:L5"/>
    <mergeCell ref="N5:O5"/>
    <mergeCell ref="P5:Q5"/>
  </mergeCells>
  <conditionalFormatting sqref="AI11:AI60">
    <cfRule type="cellIs" dxfId="8" priority="1" operator="greaterThan">
      <formula>#REF!</formula>
    </cfRule>
    <cfRule type="cellIs" dxfId="7" priority="2" operator="between">
      <formula>11</formula>
      <formula>50</formula>
    </cfRule>
    <cfRule type="cellIs" dxfId="6" priority="3" operator="lessThan">
      <formula>#REF!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85023-5846-4B89-81ED-C60CC33D5B78}">
  <sheetPr codeName="Sheet2"/>
  <dimension ref="A1:AP75"/>
  <sheetViews>
    <sheetView workbookViewId="0">
      <pane xSplit="4" ySplit="10" topLeftCell="AF53" activePane="bottomRight" state="frozen"/>
      <selection pane="topRight" activeCell="E1" sqref="E1"/>
      <selection pane="bottomLeft" activeCell="A11" sqref="A11"/>
      <selection pane="bottomRight" activeCell="AM62" sqref="AM62"/>
    </sheetView>
  </sheetViews>
  <sheetFormatPr defaultRowHeight="15" x14ac:dyDescent="0.25"/>
  <cols>
    <col min="2" max="2" width="12.28515625" bestFit="1" customWidth="1"/>
    <col min="3" max="3" width="53.85546875" bestFit="1" customWidth="1"/>
  </cols>
  <sheetData>
    <row r="1" spans="1:42" ht="22.5" x14ac:dyDescent="0.25">
      <c r="E1" s="42" t="s">
        <v>29</v>
      </c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</row>
    <row r="2" spans="1:42" x14ac:dyDescent="0.25">
      <c r="E2" s="43" t="s">
        <v>30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5"/>
    </row>
    <row r="3" spans="1:42" ht="15.75" x14ac:dyDescent="0.25">
      <c r="E3" s="46" t="s">
        <v>0</v>
      </c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</row>
    <row r="4" spans="1:42" x14ac:dyDescent="0.25">
      <c r="E4" s="47" t="s">
        <v>1</v>
      </c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</row>
    <row r="5" spans="1:42" ht="15.75" x14ac:dyDescent="0.25">
      <c r="E5" s="48" t="s">
        <v>2</v>
      </c>
      <c r="F5" s="48"/>
      <c r="G5" s="48"/>
      <c r="H5" s="49" t="s">
        <v>3</v>
      </c>
      <c r="I5" s="50"/>
      <c r="J5" s="51"/>
      <c r="K5" s="52" t="s">
        <v>4</v>
      </c>
      <c r="L5" s="52"/>
      <c r="M5" s="11">
        <v>0</v>
      </c>
      <c r="N5" s="53" t="s">
        <v>5</v>
      </c>
      <c r="O5" s="53"/>
      <c r="P5" s="54"/>
      <c r="Q5" s="55"/>
    </row>
    <row r="6" spans="1:42" ht="15.75" x14ac:dyDescent="0.25">
      <c r="E6" s="48" t="s">
        <v>6</v>
      </c>
      <c r="F6" s="48"/>
      <c r="G6" s="48"/>
      <c r="H6" s="56" t="s">
        <v>7</v>
      </c>
      <c r="I6" s="56"/>
      <c r="J6" s="56"/>
      <c r="K6" s="52" t="s">
        <v>8</v>
      </c>
      <c r="L6" s="52"/>
      <c r="M6" s="57" t="s">
        <v>9</v>
      </c>
      <c r="N6" s="57"/>
      <c r="O6" s="57"/>
      <c r="P6" s="57"/>
      <c r="Q6" s="57"/>
    </row>
    <row r="7" spans="1:42" ht="15.75" x14ac:dyDescent="0.25">
      <c r="E7" s="52" t="s">
        <v>10</v>
      </c>
      <c r="F7" s="52"/>
      <c r="G7" s="52"/>
      <c r="H7" s="58"/>
      <c r="I7" s="58"/>
      <c r="J7" s="58"/>
      <c r="K7" s="52" t="s">
        <v>11</v>
      </c>
      <c r="L7" s="52"/>
      <c r="M7" s="57"/>
      <c r="N7" s="57"/>
      <c r="O7" s="57"/>
      <c r="P7" s="57"/>
      <c r="Q7" s="57"/>
    </row>
    <row r="9" spans="1:42" x14ac:dyDescent="0.25">
      <c r="A9" t="s">
        <v>12</v>
      </c>
    </row>
    <row r="10" spans="1:42" ht="26.25" x14ac:dyDescent="0.25">
      <c r="A10" s="24" t="s">
        <v>13</v>
      </c>
      <c r="B10" s="4" t="s">
        <v>14</v>
      </c>
      <c r="C10" s="4" t="s">
        <v>15</v>
      </c>
      <c r="D10" s="4" t="s">
        <v>16</v>
      </c>
      <c r="E10" s="5" t="s">
        <v>17</v>
      </c>
      <c r="F10" s="12" t="s">
        <v>132</v>
      </c>
      <c r="G10" s="36">
        <v>46082</v>
      </c>
      <c r="H10" s="36">
        <v>46083</v>
      </c>
      <c r="I10" s="36">
        <v>46084</v>
      </c>
      <c r="J10" s="36">
        <v>46085</v>
      </c>
      <c r="K10" s="36">
        <v>46086</v>
      </c>
      <c r="L10" s="36">
        <v>46087</v>
      </c>
      <c r="M10" s="36">
        <v>46088</v>
      </c>
      <c r="N10" s="36">
        <v>46089</v>
      </c>
      <c r="O10" s="36">
        <v>46090</v>
      </c>
      <c r="P10" s="36">
        <v>46091</v>
      </c>
      <c r="Q10" s="36">
        <v>46092</v>
      </c>
      <c r="R10" s="36">
        <v>46093</v>
      </c>
      <c r="S10" s="36">
        <v>46094</v>
      </c>
      <c r="T10" s="36">
        <v>46095</v>
      </c>
      <c r="U10" s="36">
        <v>46096</v>
      </c>
      <c r="V10" s="36">
        <v>46097</v>
      </c>
      <c r="W10" s="36">
        <v>46098</v>
      </c>
      <c r="X10" s="36">
        <v>46099</v>
      </c>
      <c r="Y10" s="36">
        <v>46100</v>
      </c>
      <c r="Z10" s="36">
        <v>46101</v>
      </c>
      <c r="AA10" s="36">
        <v>46102</v>
      </c>
      <c r="AB10" s="36">
        <v>46103</v>
      </c>
      <c r="AC10" s="36">
        <v>46104</v>
      </c>
      <c r="AD10" s="36">
        <v>46105</v>
      </c>
      <c r="AE10" s="36">
        <v>46106</v>
      </c>
      <c r="AF10" s="36">
        <v>46107</v>
      </c>
      <c r="AG10" s="36">
        <v>46108</v>
      </c>
      <c r="AH10" s="36">
        <v>46109</v>
      </c>
      <c r="AI10" s="36">
        <v>46110</v>
      </c>
      <c r="AJ10" s="36">
        <v>46111</v>
      </c>
      <c r="AK10" s="36">
        <v>46112</v>
      </c>
      <c r="AL10" s="12" t="s">
        <v>133</v>
      </c>
      <c r="AM10" s="3" t="s">
        <v>18</v>
      </c>
      <c r="AN10" s="3" t="s">
        <v>19</v>
      </c>
      <c r="AO10" s="3" t="s">
        <v>20</v>
      </c>
      <c r="AP10" s="14"/>
    </row>
    <row r="11" spans="1:42" x14ac:dyDescent="0.25">
      <c r="A11" t="s">
        <v>127</v>
      </c>
      <c r="B11" s="20" t="s">
        <v>31</v>
      </c>
      <c r="C11" s="27" t="s">
        <v>32</v>
      </c>
      <c r="D11" s="11"/>
      <c r="E11" s="11"/>
      <c r="F11" s="41">
        <f>'Feb 2026'!AI11</f>
        <v>220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>
        <v>-1</v>
      </c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40">
        <f>F11+SUM(G11:AK11)</f>
        <v>219</v>
      </c>
      <c r="AM11">
        <v>50</v>
      </c>
      <c r="AN11">
        <v>100</v>
      </c>
      <c r="AO11">
        <v>500</v>
      </c>
    </row>
    <row r="12" spans="1:42" x14ac:dyDescent="0.25">
      <c r="A12" t="s">
        <v>128</v>
      </c>
      <c r="B12" s="20" t="s">
        <v>33</v>
      </c>
      <c r="C12" s="27" t="s">
        <v>34</v>
      </c>
      <c r="D12" s="11"/>
      <c r="E12" s="11"/>
      <c r="F12" s="41">
        <f>'Feb 2026'!AI12</f>
        <v>464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>
        <v>-1</v>
      </c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40">
        <f t="shared" ref="AL12:AL59" si="0">F12+SUM(G12:AK12)</f>
        <v>463</v>
      </c>
      <c r="AM12">
        <v>100</v>
      </c>
      <c r="AN12">
        <v>150</v>
      </c>
      <c r="AO12">
        <v>500</v>
      </c>
    </row>
    <row r="13" spans="1:42" x14ac:dyDescent="0.25">
      <c r="A13" t="s">
        <v>129</v>
      </c>
      <c r="B13" s="20" t="s">
        <v>35</v>
      </c>
      <c r="C13" s="27" t="s">
        <v>36</v>
      </c>
      <c r="D13" s="11"/>
      <c r="E13" s="11"/>
      <c r="F13" s="41">
        <f>'Feb 2026'!AI13</f>
        <v>0</v>
      </c>
      <c r="G13" s="26"/>
      <c r="H13" s="26"/>
      <c r="I13" s="26"/>
      <c r="J13" s="26"/>
      <c r="K13" s="34">
        <v>1011</v>
      </c>
      <c r="L13" s="26">
        <f>-77+-8+-43+-125</f>
        <v>-253</v>
      </c>
      <c r="M13" s="26"/>
      <c r="N13" s="26"/>
      <c r="O13" s="26"/>
      <c r="P13" s="26"/>
      <c r="Q13" s="26"/>
      <c r="R13" s="26"/>
      <c r="S13" s="26"/>
      <c r="T13" s="26"/>
      <c r="U13" s="26"/>
      <c r="V13" s="26">
        <v>-8</v>
      </c>
      <c r="W13" s="26">
        <v>-29</v>
      </c>
      <c r="X13" s="26"/>
      <c r="Y13" s="26"/>
      <c r="Z13" s="26"/>
      <c r="AA13" s="26"/>
      <c r="AB13" s="26"/>
      <c r="AC13" s="26"/>
      <c r="AD13" s="26"/>
      <c r="AE13" s="26"/>
      <c r="AF13" s="26"/>
      <c r="AG13" s="26">
        <v>-14</v>
      </c>
      <c r="AH13" s="26"/>
      <c r="AI13" s="26"/>
      <c r="AJ13" s="26"/>
      <c r="AK13" s="26"/>
      <c r="AL13" s="40">
        <f t="shared" si="0"/>
        <v>707</v>
      </c>
      <c r="AM13">
        <v>250</v>
      </c>
      <c r="AN13">
        <v>500</v>
      </c>
      <c r="AO13">
        <v>1000</v>
      </c>
    </row>
    <row r="14" spans="1:42" x14ac:dyDescent="0.25">
      <c r="B14" s="20" t="s">
        <v>37</v>
      </c>
      <c r="C14" s="27" t="s">
        <v>38</v>
      </c>
      <c r="D14" s="11"/>
      <c r="E14" s="11"/>
      <c r="F14" s="41">
        <f>'Feb 2026'!AI14</f>
        <v>1</v>
      </c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40">
        <f t="shared" si="0"/>
        <v>1</v>
      </c>
      <c r="AP14" t="s">
        <v>134</v>
      </c>
    </row>
    <row r="15" spans="1:42" x14ac:dyDescent="0.25">
      <c r="B15" s="20" t="s">
        <v>39</v>
      </c>
      <c r="C15" s="27" t="s">
        <v>40</v>
      </c>
      <c r="D15" s="11"/>
      <c r="E15" s="11"/>
      <c r="F15" s="41">
        <f>'Feb 2026'!AI15</f>
        <v>2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40">
        <f t="shared" si="0"/>
        <v>2</v>
      </c>
      <c r="AP15" t="s">
        <v>134</v>
      </c>
    </row>
    <row r="16" spans="1:42" x14ac:dyDescent="0.25">
      <c r="A16" t="s">
        <v>129</v>
      </c>
      <c r="B16" s="20" t="s">
        <v>41</v>
      </c>
      <c r="C16" s="27" t="s">
        <v>42</v>
      </c>
      <c r="D16" s="11"/>
      <c r="E16" s="11"/>
      <c r="F16" s="41">
        <f>'Feb 2026'!AI16</f>
        <v>35</v>
      </c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40">
        <f t="shared" si="0"/>
        <v>35</v>
      </c>
      <c r="AP16" t="s">
        <v>134</v>
      </c>
    </row>
    <row r="17" spans="1:42" x14ac:dyDescent="0.25">
      <c r="A17" t="s">
        <v>129</v>
      </c>
      <c r="B17" s="20" t="s">
        <v>43</v>
      </c>
      <c r="C17" s="27" t="s">
        <v>44</v>
      </c>
      <c r="D17" s="11"/>
      <c r="E17" s="11"/>
      <c r="F17" s="41">
        <f>'Feb 2026'!AI17</f>
        <v>5</v>
      </c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40">
        <f t="shared" si="0"/>
        <v>5</v>
      </c>
      <c r="AP17" t="s">
        <v>134</v>
      </c>
    </row>
    <row r="18" spans="1:42" x14ac:dyDescent="0.25">
      <c r="A18" t="s">
        <v>129</v>
      </c>
      <c r="B18" s="20" t="s">
        <v>45</v>
      </c>
      <c r="C18" s="27" t="s">
        <v>46</v>
      </c>
      <c r="D18" s="11"/>
      <c r="E18" s="11"/>
      <c r="F18" s="41">
        <f>'Feb 2026'!AI18</f>
        <v>0</v>
      </c>
      <c r="G18" s="26"/>
      <c r="H18" s="26"/>
      <c r="I18" s="26"/>
      <c r="J18" s="26"/>
      <c r="K18" s="26"/>
      <c r="L18" s="26"/>
      <c r="M18" s="26"/>
      <c r="N18" s="26"/>
      <c r="O18" s="26"/>
      <c r="P18" s="34">
        <v>100</v>
      </c>
      <c r="Q18" s="26"/>
      <c r="R18" s="26"/>
      <c r="S18" s="26"/>
      <c r="T18" s="26"/>
      <c r="U18" s="26"/>
      <c r="V18" s="26">
        <f>-1+-8+-3</f>
        <v>-12</v>
      </c>
      <c r="W18" s="26">
        <v>-3</v>
      </c>
      <c r="X18" s="26"/>
      <c r="Y18" s="26"/>
      <c r="Z18" s="26"/>
      <c r="AA18" s="26">
        <v>-1</v>
      </c>
      <c r="AB18" s="26"/>
      <c r="AC18" s="26"/>
      <c r="AD18" s="26"/>
      <c r="AE18" s="26"/>
      <c r="AF18" s="26">
        <v>-1</v>
      </c>
      <c r="AG18" s="26"/>
      <c r="AH18" s="26"/>
      <c r="AI18" s="26"/>
      <c r="AJ18" s="26"/>
      <c r="AK18" s="26"/>
      <c r="AL18" s="40">
        <f t="shared" si="0"/>
        <v>83</v>
      </c>
      <c r="AM18">
        <v>20</v>
      </c>
      <c r="AN18">
        <v>30</v>
      </c>
      <c r="AO18">
        <v>100</v>
      </c>
    </row>
    <row r="19" spans="1:42" x14ac:dyDescent="0.25">
      <c r="A19" t="s">
        <v>129</v>
      </c>
      <c r="B19" s="20" t="s">
        <v>47</v>
      </c>
      <c r="C19" s="27" t="s">
        <v>48</v>
      </c>
      <c r="D19" s="11"/>
      <c r="E19" s="11"/>
      <c r="F19" s="41">
        <f>'Feb 2026'!AI19</f>
        <v>20</v>
      </c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40">
        <f t="shared" si="0"/>
        <v>20</v>
      </c>
      <c r="AP19" t="s">
        <v>134</v>
      </c>
    </row>
    <row r="20" spans="1:42" x14ac:dyDescent="0.25">
      <c r="B20" s="20" t="s">
        <v>49</v>
      </c>
      <c r="C20" s="27" t="s">
        <v>50</v>
      </c>
      <c r="D20" s="11"/>
      <c r="E20" s="11"/>
      <c r="F20" s="41">
        <f>'Feb 2026'!AI20</f>
        <v>0</v>
      </c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40">
        <f t="shared" si="0"/>
        <v>0</v>
      </c>
    </row>
    <row r="21" spans="1:42" x14ac:dyDescent="0.25">
      <c r="B21" s="20" t="s">
        <v>51</v>
      </c>
      <c r="C21" s="27" t="s">
        <v>52</v>
      </c>
      <c r="D21" s="11"/>
      <c r="E21" s="11"/>
      <c r="F21" s="41">
        <f>'Feb 2026'!AI21</f>
        <v>0</v>
      </c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40">
        <f t="shared" si="0"/>
        <v>0</v>
      </c>
    </row>
    <row r="22" spans="1:42" x14ac:dyDescent="0.25">
      <c r="A22" t="s">
        <v>130</v>
      </c>
      <c r="B22" s="20" t="s">
        <v>53</v>
      </c>
      <c r="C22" s="27" t="s">
        <v>54</v>
      </c>
      <c r="D22" s="11"/>
      <c r="E22" s="11"/>
      <c r="F22" s="41">
        <f>'Feb 2026'!AI22</f>
        <v>5</v>
      </c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40">
        <f t="shared" si="0"/>
        <v>5</v>
      </c>
    </row>
    <row r="23" spans="1:42" x14ac:dyDescent="0.25">
      <c r="A23" t="s">
        <v>130</v>
      </c>
      <c r="B23" s="20" t="s">
        <v>55</v>
      </c>
      <c r="C23" s="27" t="s">
        <v>56</v>
      </c>
      <c r="D23" s="11"/>
      <c r="E23" s="11"/>
      <c r="F23" s="41">
        <f>'Feb 2026'!AI23</f>
        <v>4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40">
        <f t="shared" si="0"/>
        <v>4</v>
      </c>
    </row>
    <row r="24" spans="1:42" x14ac:dyDescent="0.25">
      <c r="B24" s="20" t="s">
        <v>57</v>
      </c>
      <c r="C24" s="27" t="s">
        <v>58</v>
      </c>
      <c r="D24" s="11"/>
      <c r="E24" s="11"/>
      <c r="F24" s="41">
        <f>'Feb 2026'!AI24</f>
        <v>10</v>
      </c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40">
        <f t="shared" si="0"/>
        <v>10</v>
      </c>
      <c r="AP24" t="s">
        <v>134</v>
      </c>
    </row>
    <row r="25" spans="1:42" x14ac:dyDescent="0.25">
      <c r="A25" t="s">
        <v>130</v>
      </c>
      <c r="B25" s="20" t="s">
        <v>59</v>
      </c>
      <c r="C25" s="27" t="s">
        <v>60</v>
      </c>
      <c r="D25" s="11"/>
      <c r="E25" s="11"/>
      <c r="F25" s="41">
        <f>'Feb 2026'!AI25</f>
        <v>0</v>
      </c>
      <c r="G25" s="26"/>
      <c r="H25" s="26"/>
      <c r="I25" s="26"/>
      <c r="J25" s="26"/>
      <c r="K25" s="34">
        <v>1000</v>
      </c>
      <c r="L25" s="26">
        <f>-22+-22+-24+-6+-14+-23+-14+-1</f>
        <v>-126</v>
      </c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>
        <v>-42</v>
      </c>
      <c r="AG25" s="26">
        <v>-38</v>
      </c>
      <c r="AH25" s="26"/>
      <c r="AI25" s="26"/>
      <c r="AJ25" s="26">
        <v>-29</v>
      </c>
      <c r="AK25" s="26"/>
      <c r="AL25" s="40">
        <f t="shared" si="0"/>
        <v>765</v>
      </c>
      <c r="AM25">
        <v>100</v>
      </c>
      <c r="AN25">
        <v>200</v>
      </c>
      <c r="AO25">
        <v>500</v>
      </c>
    </row>
    <row r="26" spans="1:42" x14ac:dyDescent="0.25">
      <c r="A26" t="s">
        <v>128</v>
      </c>
      <c r="B26" s="20" t="s">
        <v>61</v>
      </c>
      <c r="C26" s="27" t="s">
        <v>62</v>
      </c>
      <c r="D26" s="11"/>
      <c r="E26" s="11"/>
      <c r="F26" s="41">
        <f>'Feb 2026'!AI26</f>
        <v>281</v>
      </c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40">
        <f t="shared" si="0"/>
        <v>281</v>
      </c>
      <c r="AM26">
        <v>100</v>
      </c>
      <c r="AN26">
        <v>150</v>
      </c>
      <c r="AO26">
        <v>500</v>
      </c>
    </row>
    <row r="27" spans="1:42" x14ac:dyDescent="0.25">
      <c r="B27" s="20" t="s">
        <v>63</v>
      </c>
      <c r="C27" s="27" t="s">
        <v>64</v>
      </c>
      <c r="D27" s="11"/>
      <c r="E27" s="11"/>
      <c r="F27" s="41">
        <f>'Feb 2026'!AI27</f>
        <v>12</v>
      </c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40">
        <f t="shared" si="0"/>
        <v>12</v>
      </c>
      <c r="AP27" t="s">
        <v>134</v>
      </c>
    </row>
    <row r="28" spans="1:42" x14ac:dyDescent="0.25">
      <c r="A28" t="s">
        <v>131</v>
      </c>
      <c r="B28" s="20" t="s">
        <v>65</v>
      </c>
      <c r="C28" s="27" t="s">
        <v>66</v>
      </c>
      <c r="D28" s="11"/>
      <c r="E28" s="11"/>
      <c r="F28" s="41">
        <f>'Feb 2026'!AI28</f>
        <v>4</v>
      </c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40">
        <f t="shared" si="0"/>
        <v>4</v>
      </c>
      <c r="AP28" t="s">
        <v>134</v>
      </c>
    </row>
    <row r="29" spans="1:42" x14ac:dyDescent="0.25">
      <c r="A29" t="s">
        <v>127</v>
      </c>
      <c r="B29" s="20" t="s">
        <v>67</v>
      </c>
      <c r="C29" s="27" t="s">
        <v>68</v>
      </c>
      <c r="D29" s="11"/>
      <c r="E29" s="11"/>
      <c r="F29" s="41">
        <f>'Feb 2026'!AI29</f>
        <v>292</v>
      </c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>
        <v>-8</v>
      </c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40">
        <f t="shared" si="0"/>
        <v>284</v>
      </c>
      <c r="AM29">
        <v>100</v>
      </c>
      <c r="AN29">
        <v>150</v>
      </c>
      <c r="AO29">
        <v>500</v>
      </c>
    </row>
    <row r="30" spans="1:42" x14ac:dyDescent="0.25">
      <c r="B30" s="20" t="s">
        <v>69</v>
      </c>
      <c r="C30" s="27" t="s">
        <v>70</v>
      </c>
      <c r="D30" s="11"/>
      <c r="E30" s="11"/>
      <c r="F30" s="41">
        <f>'Feb 2026'!AI30</f>
        <v>0</v>
      </c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40">
        <f t="shared" si="0"/>
        <v>0</v>
      </c>
      <c r="AP30" t="s">
        <v>134</v>
      </c>
    </row>
    <row r="31" spans="1:42" x14ac:dyDescent="0.25">
      <c r="B31" s="20" t="s">
        <v>71</v>
      </c>
      <c r="C31" s="27" t="s">
        <v>72</v>
      </c>
      <c r="D31" s="11"/>
      <c r="E31" s="11"/>
      <c r="F31" s="41">
        <f>'Feb 2026'!AI31</f>
        <v>0</v>
      </c>
      <c r="G31" s="26"/>
      <c r="H31" s="26"/>
      <c r="I31" s="26"/>
      <c r="J31" s="26"/>
      <c r="K31" s="26"/>
      <c r="L31" s="26"/>
      <c r="M31" s="37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40">
        <f t="shared" si="0"/>
        <v>0</v>
      </c>
      <c r="AP31" t="s">
        <v>134</v>
      </c>
    </row>
    <row r="32" spans="1:42" x14ac:dyDescent="0.25">
      <c r="B32" s="20" t="s">
        <v>73</v>
      </c>
      <c r="C32" s="27" t="s">
        <v>74</v>
      </c>
      <c r="D32" s="11"/>
      <c r="E32" s="11"/>
      <c r="F32" s="41">
        <f>'Feb 2026'!AI32</f>
        <v>50</v>
      </c>
      <c r="G32" s="26"/>
      <c r="H32" s="26"/>
      <c r="I32" s="26"/>
      <c r="J32" s="26"/>
      <c r="K32" s="26"/>
      <c r="L32" s="26"/>
      <c r="M32" s="35"/>
      <c r="N32" s="26"/>
      <c r="O32" s="26"/>
      <c r="P32" s="26"/>
      <c r="Q32" s="26"/>
      <c r="R32" s="26">
        <v>-5</v>
      </c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40">
        <f t="shared" si="0"/>
        <v>45</v>
      </c>
      <c r="AP32" t="s">
        <v>134</v>
      </c>
    </row>
    <row r="33" spans="2:42" x14ac:dyDescent="0.25">
      <c r="B33" s="20" t="s">
        <v>75</v>
      </c>
      <c r="C33" s="27" t="s">
        <v>76</v>
      </c>
      <c r="D33" s="11"/>
      <c r="E33" s="11"/>
      <c r="F33" s="41">
        <f>'Feb 2026'!AI33</f>
        <v>0</v>
      </c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40">
        <f t="shared" si="0"/>
        <v>0</v>
      </c>
    </row>
    <row r="34" spans="2:42" x14ac:dyDescent="0.25">
      <c r="B34" s="20" t="s">
        <v>77</v>
      </c>
      <c r="C34" s="27" t="s">
        <v>78</v>
      </c>
      <c r="D34" s="11"/>
      <c r="E34" s="11"/>
      <c r="F34" s="41">
        <f>'Feb 2026'!AI34</f>
        <v>0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40">
        <f t="shared" si="0"/>
        <v>0</v>
      </c>
    </row>
    <row r="35" spans="2:42" x14ac:dyDescent="0.25">
      <c r="B35" s="20" t="s">
        <v>79</v>
      </c>
      <c r="C35" s="27" t="s">
        <v>80</v>
      </c>
      <c r="D35" s="11"/>
      <c r="E35" s="11"/>
      <c r="F35" s="41">
        <f>'Feb 2026'!AI35</f>
        <v>0</v>
      </c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40">
        <f t="shared" si="0"/>
        <v>0</v>
      </c>
    </row>
    <row r="36" spans="2:42" x14ac:dyDescent="0.25">
      <c r="B36" s="20" t="s">
        <v>81</v>
      </c>
      <c r="C36" s="27" t="s">
        <v>82</v>
      </c>
      <c r="D36" s="11"/>
      <c r="E36" s="11"/>
      <c r="F36" s="41">
        <f>'Feb 2026'!AI36</f>
        <v>136</v>
      </c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35"/>
      <c r="AC36" s="26"/>
      <c r="AD36" s="26"/>
      <c r="AE36" s="26"/>
      <c r="AF36" s="26"/>
      <c r="AG36" s="26"/>
      <c r="AH36" s="26"/>
      <c r="AI36" s="26"/>
      <c r="AJ36" s="26"/>
      <c r="AK36" s="26"/>
      <c r="AL36" s="40">
        <f t="shared" si="0"/>
        <v>136</v>
      </c>
      <c r="AM36">
        <v>50</v>
      </c>
      <c r="AN36">
        <v>75</v>
      </c>
      <c r="AO36">
        <v>500</v>
      </c>
    </row>
    <row r="37" spans="2:42" x14ac:dyDescent="0.25">
      <c r="B37" s="20" t="s">
        <v>83</v>
      </c>
      <c r="C37" s="27" t="s">
        <v>84</v>
      </c>
      <c r="D37" s="11"/>
      <c r="E37" s="11"/>
      <c r="F37" s="41">
        <f>'Feb 2026'!AI37</f>
        <v>0</v>
      </c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40">
        <f t="shared" si="0"/>
        <v>0</v>
      </c>
      <c r="AP37" t="s">
        <v>134</v>
      </c>
    </row>
    <row r="38" spans="2:42" x14ac:dyDescent="0.25">
      <c r="B38" s="20" t="s">
        <v>85</v>
      </c>
      <c r="C38" s="27" t="s">
        <v>86</v>
      </c>
      <c r="D38" s="11"/>
      <c r="E38" s="11"/>
      <c r="F38" s="41">
        <f>'Feb 2026'!AI38</f>
        <v>88</v>
      </c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40">
        <f t="shared" si="0"/>
        <v>88</v>
      </c>
      <c r="AP38" t="s">
        <v>134</v>
      </c>
    </row>
    <row r="39" spans="2:42" x14ac:dyDescent="0.25">
      <c r="B39" s="20" t="s">
        <v>87</v>
      </c>
      <c r="C39" s="27" t="s">
        <v>88</v>
      </c>
      <c r="D39" s="11"/>
      <c r="E39" s="11"/>
      <c r="F39" s="41">
        <f>'Feb 2026'!AI39</f>
        <v>0</v>
      </c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40">
        <f t="shared" si="0"/>
        <v>0</v>
      </c>
      <c r="AP39" t="s">
        <v>134</v>
      </c>
    </row>
    <row r="40" spans="2:42" x14ac:dyDescent="0.25">
      <c r="B40" s="20" t="s">
        <v>89</v>
      </c>
      <c r="C40" s="27" t="s">
        <v>90</v>
      </c>
      <c r="D40" s="11"/>
      <c r="E40" s="11"/>
      <c r="F40" s="41">
        <f>'Feb 2026'!AI40</f>
        <v>0</v>
      </c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40">
        <f t="shared" si="0"/>
        <v>0</v>
      </c>
      <c r="AP40" t="s">
        <v>134</v>
      </c>
    </row>
    <row r="41" spans="2:42" x14ac:dyDescent="0.25">
      <c r="B41" s="20" t="s">
        <v>91</v>
      </c>
      <c r="C41" s="27" t="s">
        <v>92</v>
      </c>
      <c r="D41" s="11"/>
      <c r="E41" s="11"/>
      <c r="F41" s="41">
        <f>'Feb 2026'!AI41</f>
        <v>-19</v>
      </c>
      <c r="G41" s="26"/>
      <c r="H41" s="34">
        <v>200</v>
      </c>
      <c r="I41" s="26">
        <v>-43</v>
      </c>
      <c r="J41" s="26"/>
      <c r="K41" s="26">
        <v>-125</v>
      </c>
      <c r="L41" s="26"/>
      <c r="M41" s="26"/>
      <c r="N41" s="35"/>
      <c r="O41" s="26"/>
      <c r="P41" s="26"/>
      <c r="Q41" s="26"/>
      <c r="R41" s="26"/>
      <c r="S41" s="26"/>
      <c r="T41" s="26"/>
      <c r="U41" s="26"/>
      <c r="V41" s="35">
        <v>8</v>
      </c>
      <c r="W41" s="26">
        <v>-21</v>
      </c>
      <c r="X41" s="26"/>
      <c r="Y41" s="26"/>
      <c r="Z41" s="26"/>
      <c r="AA41" s="26"/>
      <c r="AB41" s="26"/>
      <c r="AC41" s="26"/>
      <c r="AD41" s="26">
        <v>-20</v>
      </c>
      <c r="AE41" s="26"/>
      <c r="AF41" s="26"/>
      <c r="AG41" s="26">
        <v>-6</v>
      </c>
      <c r="AH41" s="26"/>
      <c r="AI41" s="26"/>
      <c r="AJ41" s="26">
        <v>-2</v>
      </c>
      <c r="AK41" s="26"/>
      <c r="AL41" s="40">
        <f t="shared" si="0"/>
        <v>-28</v>
      </c>
      <c r="AM41">
        <v>50</v>
      </c>
      <c r="AN41">
        <v>100</v>
      </c>
      <c r="AO41">
        <v>500</v>
      </c>
    </row>
    <row r="42" spans="2:42" x14ac:dyDescent="0.25">
      <c r="B42" s="20" t="s">
        <v>93</v>
      </c>
      <c r="C42" s="27" t="s">
        <v>94</v>
      </c>
      <c r="D42" s="11"/>
      <c r="E42" s="11"/>
      <c r="F42" s="41">
        <f>'Feb 2026'!AI42</f>
        <v>1</v>
      </c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40">
        <f t="shared" si="0"/>
        <v>1</v>
      </c>
      <c r="AP42" t="s">
        <v>134</v>
      </c>
    </row>
    <row r="43" spans="2:42" x14ac:dyDescent="0.25">
      <c r="B43" s="20" t="s">
        <v>95</v>
      </c>
      <c r="C43" s="27" t="s">
        <v>96</v>
      </c>
      <c r="D43" s="11"/>
      <c r="E43" s="11"/>
      <c r="F43" s="41">
        <f>'Feb 2026'!AI43</f>
        <v>2</v>
      </c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40">
        <f t="shared" si="0"/>
        <v>2</v>
      </c>
      <c r="AP43" t="s">
        <v>134</v>
      </c>
    </row>
    <row r="44" spans="2:42" x14ac:dyDescent="0.25">
      <c r="B44" s="20" t="s">
        <v>97</v>
      </c>
      <c r="C44" s="27" t="s">
        <v>98</v>
      </c>
      <c r="D44" s="11"/>
      <c r="E44" s="11"/>
      <c r="F44" s="41">
        <f>'Feb 2026'!AI44</f>
        <v>106</v>
      </c>
      <c r="G44" s="26"/>
      <c r="H44" s="26"/>
      <c r="I44" s="26"/>
      <c r="J44" s="26">
        <v>-8</v>
      </c>
      <c r="K44" s="26"/>
      <c r="L44" s="26"/>
      <c r="M44" s="26"/>
      <c r="N44" s="26"/>
      <c r="O44" s="26"/>
      <c r="P44" s="26"/>
      <c r="Q44" s="26">
        <f>-1+-3</f>
        <v>-4</v>
      </c>
      <c r="R44" s="26"/>
      <c r="S44" s="26"/>
      <c r="T44" s="26"/>
      <c r="U44" s="26"/>
      <c r="V44" s="26"/>
      <c r="W44" s="26">
        <v>-3</v>
      </c>
      <c r="X44" s="26"/>
      <c r="Y44" s="26"/>
      <c r="Z44" s="26"/>
      <c r="AA44" s="26">
        <v>-1</v>
      </c>
      <c r="AB44" s="35"/>
      <c r="AC44" s="26"/>
      <c r="AD44" s="26"/>
      <c r="AE44" s="26"/>
      <c r="AF44" s="26">
        <v>-1</v>
      </c>
      <c r="AG44" s="26"/>
      <c r="AH44" s="26"/>
      <c r="AI44" s="26"/>
      <c r="AJ44" s="26"/>
      <c r="AK44" s="26"/>
      <c r="AL44" s="40">
        <f t="shared" si="0"/>
        <v>89</v>
      </c>
      <c r="AM44">
        <v>25</v>
      </c>
      <c r="AN44">
        <v>50</v>
      </c>
      <c r="AO44">
        <v>200</v>
      </c>
    </row>
    <row r="45" spans="2:42" x14ac:dyDescent="0.25">
      <c r="B45" s="20" t="s">
        <v>99</v>
      </c>
      <c r="C45" s="27" t="s">
        <v>100</v>
      </c>
      <c r="D45" s="11"/>
      <c r="E45" s="11"/>
      <c r="F45" s="41">
        <f>'Feb 2026'!AI45</f>
        <v>2</v>
      </c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40">
        <f t="shared" si="0"/>
        <v>2</v>
      </c>
      <c r="AP45" t="s">
        <v>134</v>
      </c>
    </row>
    <row r="46" spans="2:42" x14ac:dyDescent="0.25">
      <c r="B46" s="20" t="s">
        <v>101</v>
      </c>
      <c r="C46" s="27" t="s">
        <v>102</v>
      </c>
      <c r="D46" s="11"/>
      <c r="E46" s="11"/>
      <c r="F46" s="41">
        <f>'Feb 2026'!AI46</f>
        <v>0</v>
      </c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40">
        <f t="shared" si="0"/>
        <v>0</v>
      </c>
    </row>
    <row r="47" spans="2:42" x14ac:dyDescent="0.25">
      <c r="B47" s="20" t="s">
        <v>103</v>
      </c>
      <c r="C47" s="27" t="s">
        <v>104</v>
      </c>
      <c r="D47" s="11"/>
      <c r="E47" s="11"/>
      <c r="F47" s="41">
        <f>'Feb 2026'!AI47</f>
        <v>131</v>
      </c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40">
        <f t="shared" si="0"/>
        <v>131</v>
      </c>
      <c r="AP47" t="s">
        <v>134</v>
      </c>
    </row>
    <row r="48" spans="2:42" x14ac:dyDescent="0.25">
      <c r="B48" s="20"/>
      <c r="C48" s="27" t="s">
        <v>105</v>
      </c>
      <c r="D48" s="11"/>
      <c r="E48" s="11"/>
      <c r="F48" s="41">
        <f>'Feb 2026'!AI48</f>
        <v>0</v>
      </c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>
        <v>-2</v>
      </c>
      <c r="AL48" s="40">
        <f t="shared" si="0"/>
        <v>-2</v>
      </c>
      <c r="AP48" t="s">
        <v>134</v>
      </c>
    </row>
    <row r="49" spans="1:42" x14ac:dyDescent="0.25">
      <c r="B49" s="20" t="s">
        <v>106</v>
      </c>
      <c r="C49" s="27" t="s">
        <v>107</v>
      </c>
      <c r="D49" s="11"/>
      <c r="E49" s="11"/>
      <c r="F49" s="41">
        <f>'Feb 2026'!AI49</f>
        <v>1142</v>
      </c>
      <c r="G49" s="26"/>
      <c r="H49" s="26"/>
      <c r="I49" s="26">
        <v>-43</v>
      </c>
      <c r="J49" s="26"/>
      <c r="K49" s="26"/>
      <c r="L49" s="26"/>
      <c r="M49" s="26"/>
      <c r="N49" s="26"/>
      <c r="O49" s="26"/>
      <c r="P49" s="26"/>
      <c r="Q49" s="26">
        <v>-19</v>
      </c>
      <c r="R49" s="26"/>
      <c r="S49" s="26"/>
      <c r="T49" s="26"/>
      <c r="U49" s="26"/>
      <c r="V49" s="26"/>
      <c r="W49" s="26">
        <v>-29</v>
      </c>
      <c r="X49" s="26"/>
      <c r="Y49" s="26"/>
      <c r="Z49" s="26"/>
      <c r="AA49" s="26">
        <v>-6</v>
      </c>
      <c r="AB49" s="26"/>
      <c r="AC49" s="26"/>
      <c r="AD49" s="26">
        <v>-20</v>
      </c>
      <c r="AE49" s="26"/>
      <c r="AF49" s="26"/>
      <c r="AG49" s="26">
        <v>-21</v>
      </c>
      <c r="AH49" s="26"/>
      <c r="AI49" s="26"/>
      <c r="AJ49" s="26">
        <v>-2</v>
      </c>
      <c r="AK49" s="26"/>
      <c r="AL49" s="40">
        <f t="shared" si="0"/>
        <v>1002</v>
      </c>
      <c r="AM49">
        <v>300</v>
      </c>
      <c r="AN49">
        <v>500</v>
      </c>
      <c r="AO49">
        <v>1000</v>
      </c>
    </row>
    <row r="50" spans="1:42" x14ac:dyDescent="0.25">
      <c r="B50" s="20" t="s">
        <v>108</v>
      </c>
      <c r="C50" s="27" t="s">
        <v>109</v>
      </c>
      <c r="D50" s="11"/>
      <c r="E50" s="11"/>
      <c r="F50" s="41">
        <f>'Feb 2026'!AI50</f>
        <v>0</v>
      </c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40">
        <f t="shared" si="0"/>
        <v>0</v>
      </c>
      <c r="AP50" t="s">
        <v>134</v>
      </c>
    </row>
    <row r="51" spans="1:42" x14ac:dyDescent="0.25">
      <c r="B51" s="20" t="s">
        <v>110</v>
      </c>
      <c r="C51" s="27" t="s">
        <v>111</v>
      </c>
      <c r="D51" s="11"/>
      <c r="E51" s="11"/>
      <c r="F51" s="41">
        <f>'Feb 2026'!AI51</f>
        <v>3</v>
      </c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40">
        <f t="shared" si="0"/>
        <v>3</v>
      </c>
      <c r="AP51" t="s">
        <v>134</v>
      </c>
    </row>
    <row r="52" spans="1:42" x14ac:dyDescent="0.25">
      <c r="B52" s="20" t="s">
        <v>112</v>
      </c>
      <c r="C52" s="27" t="s">
        <v>113</v>
      </c>
      <c r="D52" s="11"/>
      <c r="E52" s="11"/>
      <c r="F52" s="41">
        <f>'Feb 2026'!AI52</f>
        <v>0</v>
      </c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40">
        <f t="shared" si="0"/>
        <v>0</v>
      </c>
      <c r="AP52" t="s">
        <v>134</v>
      </c>
    </row>
    <row r="53" spans="1:42" x14ac:dyDescent="0.25">
      <c r="B53" s="25"/>
      <c r="C53" s="27" t="s">
        <v>114</v>
      </c>
      <c r="D53" s="11"/>
      <c r="E53" s="11"/>
      <c r="F53" s="41">
        <f>'Feb 2026'!AI53</f>
        <v>0</v>
      </c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40">
        <f t="shared" si="0"/>
        <v>0</v>
      </c>
      <c r="AP53" t="s">
        <v>134</v>
      </c>
    </row>
    <row r="54" spans="1:42" x14ac:dyDescent="0.25">
      <c r="B54" s="20" t="s">
        <v>115</v>
      </c>
      <c r="C54" s="27" t="s">
        <v>116</v>
      </c>
      <c r="D54" s="11"/>
      <c r="E54" s="11"/>
      <c r="F54" s="41">
        <f>'Feb 2026'!AI54</f>
        <v>45</v>
      </c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40">
        <f t="shared" si="0"/>
        <v>45</v>
      </c>
      <c r="AP54" t="s">
        <v>134</v>
      </c>
    </row>
    <row r="55" spans="1:42" x14ac:dyDescent="0.25">
      <c r="B55" s="20" t="s">
        <v>117</v>
      </c>
      <c r="C55" s="27" t="s">
        <v>118</v>
      </c>
      <c r="D55" s="11"/>
      <c r="E55" s="11"/>
      <c r="F55" s="41">
        <f>'Feb 2026'!AI55</f>
        <v>40</v>
      </c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40">
        <f t="shared" si="0"/>
        <v>40</v>
      </c>
      <c r="AP55" t="s">
        <v>134</v>
      </c>
    </row>
    <row r="56" spans="1:42" x14ac:dyDescent="0.25">
      <c r="B56" s="20" t="s">
        <v>119</v>
      </c>
      <c r="C56" s="27" t="s">
        <v>120</v>
      </c>
      <c r="D56" s="11"/>
      <c r="E56" s="11"/>
      <c r="F56" s="41">
        <f>'Feb 2026'!AI56</f>
        <v>16</v>
      </c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40">
        <f t="shared" si="0"/>
        <v>16</v>
      </c>
      <c r="AP56" t="s">
        <v>134</v>
      </c>
    </row>
    <row r="57" spans="1:42" x14ac:dyDescent="0.25">
      <c r="B57" s="20" t="s">
        <v>121</v>
      </c>
      <c r="C57" s="27" t="s">
        <v>122</v>
      </c>
      <c r="D57" s="11"/>
      <c r="E57" s="11"/>
      <c r="F57" s="41">
        <f>'Feb 2026'!AI57</f>
        <v>68</v>
      </c>
      <c r="G57" s="26"/>
      <c r="H57" s="26">
        <v>-3</v>
      </c>
      <c r="I57" s="26"/>
      <c r="J57" s="26"/>
      <c r="K57" s="26">
        <f>-23+-14</f>
        <v>-37</v>
      </c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>
        <v>-42</v>
      </c>
      <c r="AG57" s="26"/>
      <c r="AH57" s="26"/>
      <c r="AI57" s="26"/>
      <c r="AJ57" s="26">
        <v>-2</v>
      </c>
      <c r="AK57" s="26"/>
      <c r="AL57" s="40">
        <f t="shared" si="0"/>
        <v>-16</v>
      </c>
      <c r="AM57">
        <v>50</v>
      </c>
      <c r="AN57">
        <v>75</v>
      </c>
      <c r="AO57">
        <v>500</v>
      </c>
    </row>
    <row r="58" spans="1:42" x14ac:dyDescent="0.25">
      <c r="B58" s="20" t="s">
        <v>123</v>
      </c>
      <c r="C58" s="27" t="s">
        <v>124</v>
      </c>
      <c r="D58" s="11"/>
      <c r="E58" s="11"/>
      <c r="F58" s="41">
        <f>'Feb 2026'!AI58</f>
        <v>43</v>
      </c>
      <c r="G58" s="26"/>
      <c r="H58" s="26"/>
      <c r="I58" s="26"/>
      <c r="J58" s="26">
        <v>-8</v>
      </c>
      <c r="K58" s="26"/>
      <c r="L58" s="26"/>
      <c r="M58" s="26"/>
      <c r="N58" s="26"/>
      <c r="O58" s="26"/>
      <c r="P58" s="26"/>
      <c r="Q58" s="26">
        <f>-1+-3</f>
        <v>-4</v>
      </c>
      <c r="R58" s="26"/>
      <c r="S58" s="26"/>
      <c r="T58" s="26"/>
      <c r="U58" s="26"/>
      <c r="V58" s="26"/>
      <c r="W58" s="26">
        <v>-3</v>
      </c>
      <c r="X58" s="26"/>
      <c r="Y58" s="26"/>
      <c r="Z58" s="35"/>
      <c r="AA58" s="26">
        <v>-1</v>
      </c>
      <c r="AB58" s="26"/>
      <c r="AC58" s="26"/>
      <c r="AD58" s="26"/>
      <c r="AE58" s="26"/>
      <c r="AF58" s="26">
        <v>-1</v>
      </c>
      <c r="AG58" s="26"/>
      <c r="AH58" s="26"/>
      <c r="AI58" s="26"/>
      <c r="AJ58" s="26"/>
      <c r="AK58" s="35"/>
      <c r="AL58" s="40">
        <f t="shared" si="0"/>
        <v>26</v>
      </c>
      <c r="AM58">
        <v>10</v>
      </c>
      <c r="AN58">
        <v>15</v>
      </c>
      <c r="AO58">
        <v>25</v>
      </c>
    </row>
    <row r="59" spans="1:42" x14ac:dyDescent="0.25">
      <c r="B59" s="20" t="s">
        <v>125</v>
      </c>
      <c r="C59" s="27" t="s">
        <v>126</v>
      </c>
      <c r="D59" s="11"/>
      <c r="E59" s="11"/>
      <c r="F59" s="41">
        <f>'Feb 2026'!AI59</f>
        <v>205</v>
      </c>
      <c r="G59" s="26"/>
      <c r="H59" s="26"/>
      <c r="I59" s="26"/>
      <c r="J59" s="26">
        <v>-8</v>
      </c>
      <c r="K59" s="26">
        <v>-45</v>
      </c>
      <c r="L59" s="26"/>
      <c r="M59" s="26"/>
      <c r="N59" s="26"/>
      <c r="O59" s="26"/>
      <c r="P59" s="26"/>
      <c r="Q59" s="26">
        <f>-1+-3</f>
        <v>-4</v>
      </c>
      <c r="R59" s="26"/>
      <c r="S59" s="26"/>
      <c r="T59" s="26"/>
      <c r="U59" s="26"/>
      <c r="V59" s="26"/>
      <c r="W59" s="26">
        <v>-3</v>
      </c>
      <c r="X59" s="26"/>
      <c r="Y59" s="26"/>
      <c r="Z59" s="26"/>
      <c r="AA59" s="26">
        <v>-1</v>
      </c>
      <c r="AB59" s="26"/>
      <c r="AC59" s="26"/>
      <c r="AD59" s="26"/>
      <c r="AE59" s="26"/>
      <c r="AF59" s="26">
        <v>-1</v>
      </c>
      <c r="AG59" s="26"/>
      <c r="AH59" s="26"/>
      <c r="AI59" s="26"/>
      <c r="AJ59" s="26"/>
      <c r="AK59" s="26"/>
      <c r="AL59" s="40">
        <f t="shared" si="0"/>
        <v>143</v>
      </c>
      <c r="AM59">
        <v>10</v>
      </c>
      <c r="AN59">
        <v>15</v>
      </c>
      <c r="AO59">
        <v>25</v>
      </c>
    </row>
    <row r="60" spans="1:42" ht="15.75" thickBot="1" x14ac:dyDescent="0.3">
      <c r="A60" s="1"/>
      <c r="B60" s="2"/>
      <c r="C60" s="2"/>
      <c r="D60" s="32"/>
      <c r="E60" s="33"/>
      <c r="F60" s="33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1"/>
      <c r="AM60" s="1"/>
      <c r="AN60" s="1"/>
      <c r="AO60" s="1"/>
      <c r="AP60" s="1"/>
    </row>
    <row r="61" spans="1:42" ht="32.25" thickBot="1" x14ac:dyDescent="0.3">
      <c r="A61" s="1"/>
      <c r="B61" s="6" t="s">
        <v>21</v>
      </c>
      <c r="C61" s="18"/>
      <c r="D61" s="19"/>
      <c r="E61" s="9" t="s">
        <v>22</v>
      </c>
      <c r="F61" s="22" t="s">
        <v>23</v>
      </c>
      <c r="G61" s="30" t="s">
        <v>24</v>
      </c>
      <c r="H61" s="3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ht="16.5" thickBot="1" x14ac:dyDescent="0.3">
      <c r="A62" s="1"/>
      <c r="B62" s="7" t="s">
        <v>25</v>
      </c>
      <c r="C62" s="19"/>
      <c r="D62" s="19"/>
      <c r="E62" s="8"/>
      <c r="F62" s="21"/>
      <c r="G62" s="59"/>
      <c r="H62" s="60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ht="32.25" thickBot="1" x14ac:dyDescent="0.3">
      <c r="A63" s="1"/>
      <c r="B63" s="7" t="s">
        <v>26</v>
      </c>
      <c r="C63" s="19"/>
      <c r="D63" s="19"/>
      <c r="E63" s="9"/>
      <c r="F63" s="22"/>
      <c r="G63" s="61"/>
      <c r="H63" s="6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ht="16.5" thickBot="1" x14ac:dyDescent="0.3">
      <c r="A64" s="1"/>
      <c r="B64" s="7" t="s">
        <v>27</v>
      </c>
      <c r="C64" s="19"/>
      <c r="D64" s="19"/>
      <c r="E64" s="10"/>
      <c r="F64" s="23"/>
      <c r="G64" s="63"/>
      <c r="H64" s="6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ht="15.75" x14ac:dyDescent="0.25">
      <c r="A65" s="1"/>
      <c r="B65" s="65" t="s">
        <v>28</v>
      </c>
      <c r="C65" s="16"/>
      <c r="D65" s="16"/>
      <c r="E65" s="68"/>
      <c r="F65" s="71"/>
      <c r="G65" s="74"/>
      <c r="H65" s="7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 ht="15.75" x14ac:dyDescent="0.25">
      <c r="A66" s="1"/>
      <c r="B66" s="66"/>
      <c r="C66" s="17"/>
      <c r="D66" s="17"/>
      <c r="E66" s="69"/>
      <c r="F66" s="72"/>
      <c r="G66" s="74"/>
      <c r="H66" s="7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ht="16.5" thickBot="1" x14ac:dyDescent="0.3">
      <c r="A67" s="1"/>
      <c r="B67" s="67"/>
      <c r="C67" s="7"/>
      <c r="D67" s="7"/>
      <c r="E67" s="70"/>
      <c r="F67" s="73"/>
      <c r="G67" s="76"/>
      <c r="H67" s="7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x14ac:dyDescent="0.25">
      <c r="A68" s="1"/>
      <c r="B68" s="2"/>
      <c r="C68" s="2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x14ac:dyDescent="0.25">
      <c r="A69" s="1"/>
      <c r="B69" s="2"/>
      <c r="C69" s="2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x14ac:dyDescent="0.25">
      <c r="A70" s="1"/>
      <c r="B70" s="2"/>
      <c r="C70" s="2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x14ac:dyDescent="0.25">
      <c r="A71" s="1"/>
      <c r="B71" s="2"/>
      <c r="C71" s="2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x14ac:dyDescent="0.25">
      <c r="A72" s="1"/>
      <c r="B72" s="2"/>
      <c r="C72" s="2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x14ac:dyDescent="0.25">
      <c r="A73" s="1"/>
      <c r="B73" s="2"/>
      <c r="C73" s="2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x14ac:dyDescent="0.25">
      <c r="A74" s="1"/>
      <c r="B74" s="2"/>
      <c r="C74" s="2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x14ac:dyDescent="0.25">
      <c r="A75" s="1"/>
      <c r="B75" s="2"/>
      <c r="C75" s="2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</sheetData>
  <mergeCells count="24">
    <mergeCell ref="G62:H62"/>
    <mergeCell ref="G63:H63"/>
    <mergeCell ref="G64:H64"/>
    <mergeCell ref="B65:B67"/>
    <mergeCell ref="E65:E67"/>
    <mergeCell ref="F65:F67"/>
    <mergeCell ref="G65:H67"/>
    <mergeCell ref="E6:G6"/>
    <mergeCell ref="H6:J6"/>
    <mergeCell ref="K6:L6"/>
    <mergeCell ref="M6:Q6"/>
    <mergeCell ref="E7:G7"/>
    <mergeCell ref="H7:J7"/>
    <mergeCell ref="K7:L7"/>
    <mergeCell ref="M7:Q7"/>
    <mergeCell ref="E1:Q1"/>
    <mergeCell ref="E2:Q2"/>
    <mergeCell ref="E3:Q3"/>
    <mergeCell ref="E4:Q4"/>
    <mergeCell ref="E5:G5"/>
    <mergeCell ref="H5:J5"/>
    <mergeCell ref="K5:L5"/>
    <mergeCell ref="N5:O5"/>
    <mergeCell ref="P5:Q5"/>
  </mergeCells>
  <conditionalFormatting sqref="AL11:AL59">
    <cfRule type="cellIs" dxfId="5" priority="1" operator="greaterThan">
      <formula>#REF!</formula>
    </cfRule>
    <cfRule type="cellIs" dxfId="4" priority="2" operator="between">
      <formula>11</formula>
      <formula>50</formula>
    </cfRule>
    <cfRule type="cellIs" dxfId="3" priority="3" operator="lessThan">
      <formula>#REF!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EDB7B-0D7E-46A8-888E-737F73036CF3}">
  <dimension ref="A1:AO73"/>
  <sheetViews>
    <sheetView tabSelected="1" workbookViewId="0">
      <pane xSplit="5" ySplit="10" topLeftCell="Q38" activePane="bottomRight" state="frozen"/>
      <selection pane="topRight" activeCell="F1" sqref="F1"/>
      <selection pane="bottomLeft" activeCell="A11" sqref="A11"/>
      <selection pane="bottomRight" activeCell="Q49" sqref="Q49"/>
    </sheetView>
  </sheetViews>
  <sheetFormatPr defaultRowHeight="15" x14ac:dyDescent="0.25"/>
  <cols>
    <col min="2" max="2" width="12.28515625" bestFit="1" customWidth="1"/>
    <col min="3" max="3" width="53.85546875" bestFit="1" customWidth="1"/>
  </cols>
  <sheetData>
    <row r="1" spans="1:41" ht="22.5" x14ac:dyDescent="0.25">
      <c r="E1" s="42" t="s">
        <v>29</v>
      </c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</row>
    <row r="2" spans="1:41" x14ac:dyDescent="0.25">
      <c r="E2" s="43" t="s">
        <v>30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5"/>
    </row>
    <row r="3" spans="1:41" ht="15.75" x14ac:dyDescent="0.25">
      <c r="E3" s="46" t="s">
        <v>0</v>
      </c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</row>
    <row r="4" spans="1:41" x14ac:dyDescent="0.25">
      <c r="E4" s="47" t="s">
        <v>1</v>
      </c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</row>
    <row r="5" spans="1:41" ht="15.75" x14ac:dyDescent="0.25">
      <c r="E5" s="48" t="s">
        <v>2</v>
      </c>
      <c r="F5" s="48"/>
      <c r="G5" s="48"/>
      <c r="H5" s="49" t="s">
        <v>3</v>
      </c>
      <c r="I5" s="50"/>
      <c r="J5" s="51"/>
      <c r="K5" s="52" t="s">
        <v>4</v>
      </c>
      <c r="L5" s="52"/>
      <c r="M5" s="11">
        <v>0</v>
      </c>
      <c r="N5" s="53" t="s">
        <v>5</v>
      </c>
      <c r="O5" s="53"/>
      <c r="P5" s="54"/>
      <c r="Q5" s="55"/>
    </row>
    <row r="6" spans="1:41" ht="15.75" x14ac:dyDescent="0.25">
      <c r="E6" s="48" t="s">
        <v>6</v>
      </c>
      <c r="F6" s="48"/>
      <c r="G6" s="48"/>
      <c r="H6" s="56" t="s">
        <v>7</v>
      </c>
      <c r="I6" s="56"/>
      <c r="J6" s="56"/>
      <c r="K6" s="52" t="s">
        <v>8</v>
      </c>
      <c r="L6" s="52"/>
      <c r="M6" s="57" t="s">
        <v>9</v>
      </c>
      <c r="N6" s="57"/>
      <c r="O6" s="57"/>
      <c r="P6" s="57"/>
      <c r="Q6" s="57"/>
    </row>
    <row r="7" spans="1:41" ht="15.75" x14ac:dyDescent="0.25">
      <c r="E7" s="52" t="s">
        <v>10</v>
      </c>
      <c r="F7" s="52"/>
      <c r="G7" s="52"/>
      <c r="H7" s="58"/>
      <c r="I7" s="58"/>
      <c r="J7" s="58"/>
      <c r="K7" s="52" t="s">
        <v>11</v>
      </c>
      <c r="L7" s="52"/>
      <c r="M7" s="57"/>
      <c r="N7" s="57"/>
      <c r="O7" s="57"/>
      <c r="P7" s="57"/>
      <c r="Q7" s="57"/>
    </row>
    <row r="9" spans="1:41" x14ac:dyDescent="0.25">
      <c r="A9" t="s">
        <v>12</v>
      </c>
    </row>
    <row r="10" spans="1:41" ht="26.25" x14ac:dyDescent="0.25">
      <c r="A10" s="24" t="s">
        <v>13</v>
      </c>
      <c r="B10" s="4" t="s">
        <v>14</v>
      </c>
      <c r="C10" s="4" t="s">
        <v>15</v>
      </c>
      <c r="D10" s="4" t="s">
        <v>16</v>
      </c>
      <c r="E10" s="5" t="s">
        <v>17</v>
      </c>
      <c r="F10" s="12" t="s">
        <v>132</v>
      </c>
      <c r="G10" s="36">
        <v>46113</v>
      </c>
      <c r="H10" s="36">
        <v>46114</v>
      </c>
      <c r="I10" s="36">
        <v>46115</v>
      </c>
      <c r="J10" s="36">
        <v>46116</v>
      </c>
      <c r="K10" s="36">
        <v>46117</v>
      </c>
      <c r="L10" s="36">
        <v>46118</v>
      </c>
      <c r="M10" s="36">
        <v>46119</v>
      </c>
      <c r="N10" s="36">
        <v>46120</v>
      </c>
      <c r="O10" s="36">
        <v>46121</v>
      </c>
      <c r="P10" s="36">
        <v>46122</v>
      </c>
      <c r="Q10" s="36">
        <v>46123</v>
      </c>
      <c r="R10" s="36">
        <v>46124</v>
      </c>
      <c r="S10" s="36">
        <v>46125</v>
      </c>
      <c r="T10" s="36">
        <v>46126</v>
      </c>
      <c r="U10" s="36">
        <v>46127</v>
      </c>
      <c r="V10" s="36">
        <v>46128</v>
      </c>
      <c r="W10" s="36">
        <v>46129</v>
      </c>
      <c r="X10" s="36">
        <v>46130</v>
      </c>
      <c r="Y10" s="36">
        <v>46131</v>
      </c>
      <c r="Z10" s="36">
        <v>46132</v>
      </c>
      <c r="AA10" s="36">
        <v>46133</v>
      </c>
      <c r="AB10" s="36">
        <v>46134</v>
      </c>
      <c r="AC10" s="36">
        <v>46135</v>
      </c>
      <c r="AD10" s="36">
        <v>46136</v>
      </c>
      <c r="AE10" s="36">
        <v>46137</v>
      </c>
      <c r="AF10" s="36">
        <v>46138</v>
      </c>
      <c r="AG10" s="36">
        <v>46139</v>
      </c>
      <c r="AH10" s="36">
        <v>46140</v>
      </c>
      <c r="AI10" s="36">
        <v>46141</v>
      </c>
      <c r="AJ10" s="36">
        <v>46142</v>
      </c>
      <c r="AK10" s="12" t="s">
        <v>133</v>
      </c>
      <c r="AL10" s="3" t="s">
        <v>18</v>
      </c>
      <c r="AM10" s="3" t="s">
        <v>19</v>
      </c>
      <c r="AN10" s="3" t="s">
        <v>20</v>
      </c>
      <c r="AO10" s="14"/>
    </row>
    <row r="11" spans="1:41" x14ac:dyDescent="0.25">
      <c r="A11" t="s">
        <v>127</v>
      </c>
      <c r="B11" s="20" t="s">
        <v>31</v>
      </c>
      <c r="C11" s="27" t="s">
        <v>32</v>
      </c>
      <c r="D11" s="11"/>
      <c r="E11" s="11"/>
      <c r="F11" s="41">
        <f>'March 2026'!AL11</f>
        <v>219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40">
        <f t="shared" ref="AK11:AK42" si="0">F11+SUM(G11:AJ11)</f>
        <v>219</v>
      </c>
      <c r="AL11">
        <v>50</v>
      </c>
      <c r="AM11">
        <v>100</v>
      </c>
      <c r="AN11">
        <v>500</v>
      </c>
    </row>
    <row r="12" spans="1:41" x14ac:dyDescent="0.25">
      <c r="A12" t="s">
        <v>128</v>
      </c>
      <c r="B12" s="20" t="s">
        <v>33</v>
      </c>
      <c r="C12" s="27" t="s">
        <v>34</v>
      </c>
      <c r="D12" s="11"/>
      <c r="E12" s="11"/>
      <c r="F12" s="41">
        <f>'March 2026'!AL12</f>
        <v>463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40">
        <f t="shared" si="0"/>
        <v>463</v>
      </c>
      <c r="AL12">
        <v>100</v>
      </c>
      <c r="AM12">
        <v>150</v>
      </c>
      <c r="AN12">
        <v>500</v>
      </c>
    </row>
    <row r="13" spans="1:41" x14ac:dyDescent="0.25">
      <c r="A13" t="s">
        <v>129</v>
      </c>
      <c r="B13" s="20" t="s">
        <v>35</v>
      </c>
      <c r="C13" s="27" t="s">
        <v>36</v>
      </c>
      <c r="D13" s="11"/>
      <c r="E13" s="11"/>
      <c r="F13" s="41">
        <f>'March 2026'!AL13</f>
        <v>707</v>
      </c>
      <c r="G13" s="26"/>
      <c r="H13" s="26"/>
      <c r="I13" s="26"/>
      <c r="J13" s="26"/>
      <c r="K13" s="34"/>
      <c r="L13" s="26">
        <v>-2</v>
      </c>
      <c r="M13" s="26"/>
      <c r="N13" s="26">
        <v>-79</v>
      </c>
      <c r="O13" s="26"/>
      <c r="P13" s="26"/>
      <c r="Q13" s="26"/>
      <c r="R13" s="26"/>
      <c r="S13" s="26">
        <v>-27</v>
      </c>
      <c r="T13" s="26"/>
      <c r="U13" s="26"/>
      <c r="V13" s="26"/>
      <c r="W13" s="26">
        <v>-44</v>
      </c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40">
        <f t="shared" si="0"/>
        <v>555</v>
      </c>
      <c r="AL13">
        <v>250</v>
      </c>
      <c r="AM13">
        <v>500</v>
      </c>
      <c r="AN13">
        <v>1000</v>
      </c>
    </row>
    <row r="14" spans="1:41" x14ac:dyDescent="0.25">
      <c r="B14" s="20" t="s">
        <v>37</v>
      </c>
      <c r="C14" s="27" t="s">
        <v>38</v>
      </c>
      <c r="D14" s="11"/>
      <c r="E14" s="11"/>
      <c r="F14" s="41">
        <f>'March 2026'!AL14</f>
        <v>1</v>
      </c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40">
        <f t="shared" si="0"/>
        <v>1</v>
      </c>
      <c r="AO14" t="s">
        <v>134</v>
      </c>
    </row>
    <row r="15" spans="1:41" x14ac:dyDescent="0.25">
      <c r="B15" s="20" t="s">
        <v>39</v>
      </c>
      <c r="C15" s="27" t="s">
        <v>40</v>
      </c>
      <c r="D15" s="11"/>
      <c r="E15" s="11"/>
      <c r="F15" s="41">
        <f>'March 2026'!AL15</f>
        <v>2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40">
        <f t="shared" si="0"/>
        <v>2</v>
      </c>
      <c r="AO15" t="s">
        <v>134</v>
      </c>
    </row>
    <row r="16" spans="1:41" x14ac:dyDescent="0.25">
      <c r="A16" t="s">
        <v>129</v>
      </c>
      <c r="B16" s="20" t="s">
        <v>41</v>
      </c>
      <c r="C16" s="27" t="s">
        <v>42</v>
      </c>
      <c r="D16" s="11"/>
      <c r="E16" s="11"/>
      <c r="F16" s="41">
        <f>'March 2026'!AL16</f>
        <v>35</v>
      </c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40">
        <f t="shared" si="0"/>
        <v>35</v>
      </c>
      <c r="AO16" t="s">
        <v>134</v>
      </c>
    </row>
    <row r="17" spans="1:41" x14ac:dyDescent="0.25">
      <c r="A17" t="s">
        <v>129</v>
      </c>
      <c r="B17" s="20" t="s">
        <v>43</v>
      </c>
      <c r="C17" s="27" t="s">
        <v>44</v>
      </c>
      <c r="D17" s="11"/>
      <c r="E17" s="11"/>
      <c r="F17" s="41">
        <f>'March 2026'!AL17</f>
        <v>5</v>
      </c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40">
        <f t="shared" si="0"/>
        <v>5</v>
      </c>
      <c r="AO17" t="s">
        <v>134</v>
      </c>
    </row>
    <row r="18" spans="1:41" x14ac:dyDescent="0.25">
      <c r="A18" t="s">
        <v>129</v>
      </c>
      <c r="B18" s="20" t="s">
        <v>45</v>
      </c>
      <c r="C18" s="27" t="s">
        <v>46</v>
      </c>
      <c r="D18" s="11"/>
      <c r="E18" s="11"/>
      <c r="F18" s="41">
        <f>'March 2026'!AL18</f>
        <v>83</v>
      </c>
      <c r="G18" s="26"/>
      <c r="H18" s="26"/>
      <c r="I18" s="26"/>
      <c r="J18" s="26"/>
      <c r="K18" s="26"/>
      <c r="L18" s="26"/>
      <c r="M18" s="26">
        <v>-2</v>
      </c>
      <c r="N18" s="26"/>
      <c r="O18" s="26"/>
      <c r="P18" s="34"/>
      <c r="Q18" s="26"/>
      <c r="R18" s="26"/>
      <c r="S18" s="26">
        <v>-12</v>
      </c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40">
        <f t="shared" si="0"/>
        <v>69</v>
      </c>
      <c r="AL18">
        <v>20</v>
      </c>
      <c r="AM18">
        <v>30</v>
      </c>
      <c r="AN18">
        <v>100</v>
      </c>
    </row>
    <row r="19" spans="1:41" x14ac:dyDescent="0.25">
      <c r="A19" t="s">
        <v>129</v>
      </c>
      <c r="B19" s="20" t="s">
        <v>47</v>
      </c>
      <c r="C19" s="27" t="s">
        <v>48</v>
      </c>
      <c r="D19" s="11"/>
      <c r="E19" s="11"/>
      <c r="F19" s="41">
        <f>'March 2026'!AL19</f>
        <v>20</v>
      </c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40">
        <f t="shared" si="0"/>
        <v>20</v>
      </c>
      <c r="AO19" t="s">
        <v>134</v>
      </c>
    </row>
    <row r="20" spans="1:41" x14ac:dyDescent="0.25">
      <c r="B20" s="20" t="s">
        <v>49</v>
      </c>
      <c r="C20" s="27" t="s">
        <v>50</v>
      </c>
      <c r="D20" s="11"/>
      <c r="E20" s="11"/>
      <c r="F20" s="41">
        <f>'March 2026'!AL20</f>
        <v>0</v>
      </c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40">
        <f t="shared" si="0"/>
        <v>0</v>
      </c>
    </row>
    <row r="21" spans="1:41" x14ac:dyDescent="0.25">
      <c r="B21" s="20" t="s">
        <v>51</v>
      </c>
      <c r="C21" s="27" t="s">
        <v>52</v>
      </c>
      <c r="D21" s="11"/>
      <c r="E21" s="11"/>
      <c r="F21" s="41">
        <f>'March 2026'!AL21</f>
        <v>0</v>
      </c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40">
        <f t="shared" si="0"/>
        <v>0</v>
      </c>
    </row>
    <row r="22" spans="1:41" x14ac:dyDescent="0.25">
      <c r="A22" t="s">
        <v>130</v>
      </c>
      <c r="B22" s="20" t="s">
        <v>53</v>
      </c>
      <c r="C22" s="27" t="s">
        <v>54</v>
      </c>
      <c r="D22" s="11"/>
      <c r="E22" s="11"/>
      <c r="F22" s="41">
        <f>'March 2026'!AL22</f>
        <v>5</v>
      </c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40">
        <f t="shared" si="0"/>
        <v>5</v>
      </c>
    </row>
    <row r="23" spans="1:41" x14ac:dyDescent="0.25">
      <c r="A23" t="s">
        <v>130</v>
      </c>
      <c r="B23" s="20" t="s">
        <v>55</v>
      </c>
      <c r="C23" s="27" t="s">
        <v>56</v>
      </c>
      <c r="D23" s="11"/>
      <c r="E23" s="11"/>
      <c r="F23" s="41">
        <f>'March 2026'!AL23</f>
        <v>4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40">
        <f t="shared" si="0"/>
        <v>4</v>
      </c>
    </row>
    <row r="24" spans="1:41" x14ac:dyDescent="0.25">
      <c r="B24" s="20" t="s">
        <v>57</v>
      </c>
      <c r="C24" s="27" t="s">
        <v>58</v>
      </c>
      <c r="D24" s="11"/>
      <c r="E24" s="11"/>
      <c r="F24" s="41">
        <f>'March 2026'!AL24</f>
        <v>10</v>
      </c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40">
        <f t="shared" si="0"/>
        <v>10</v>
      </c>
      <c r="AO24" t="s">
        <v>134</v>
      </c>
    </row>
    <row r="25" spans="1:41" x14ac:dyDescent="0.25">
      <c r="A25" t="s">
        <v>130</v>
      </c>
      <c r="B25" s="20" t="s">
        <v>59</v>
      </c>
      <c r="C25" s="27" t="s">
        <v>60</v>
      </c>
      <c r="D25" s="11"/>
      <c r="E25" s="11"/>
      <c r="F25" s="41">
        <f>'March 2026'!AL25</f>
        <v>765</v>
      </c>
      <c r="G25" s="26"/>
      <c r="H25" s="26"/>
      <c r="I25" s="26">
        <v>-25</v>
      </c>
      <c r="J25" s="26"/>
      <c r="K25" s="34"/>
      <c r="L25" s="26">
        <v>-20</v>
      </c>
      <c r="M25" s="26"/>
      <c r="N25" s="26">
        <v>-40</v>
      </c>
      <c r="O25" s="26"/>
      <c r="P25" s="26"/>
      <c r="Q25" s="26"/>
      <c r="R25" s="26"/>
      <c r="S25" s="26"/>
      <c r="T25" s="26">
        <v>-13</v>
      </c>
      <c r="U25" s="26">
        <f>-30+-30</f>
        <v>-60</v>
      </c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40">
        <f t="shared" si="0"/>
        <v>607</v>
      </c>
      <c r="AL25">
        <v>100</v>
      </c>
      <c r="AM25">
        <v>200</v>
      </c>
      <c r="AN25">
        <v>500</v>
      </c>
    </row>
    <row r="26" spans="1:41" x14ac:dyDescent="0.25">
      <c r="A26" t="s">
        <v>128</v>
      </c>
      <c r="B26" s="20" t="s">
        <v>61</v>
      </c>
      <c r="C26" s="27" t="s">
        <v>62</v>
      </c>
      <c r="D26" s="11"/>
      <c r="E26" s="11"/>
      <c r="F26" s="41">
        <f>'March 2026'!AL26</f>
        <v>281</v>
      </c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>
        <v>-27</v>
      </c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40">
        <f t="shared" si="0"/>
        <v>254</v>
      </c>
      <c r="AL26">
        <v>100</v>
      </c>
      <c r="AM26">
        <v>150</v>
      </c>
      <c r="AN26">
        <v>500</v>
      </c>
    </row>
    <row r="27" spans="1:41" x14ac:dyDescent="0.25">
      <c r="B27" s="20" t="s">
        <v>63</v>
      </c>
      <c r="C27" s="27" t="s">
        <v>64</v>
      </c>
      <c r="D27" s="11"/>
      <c r="E27" s="11"/>
      <c r="F27" s="41">
        <f>'March 2026'!AL27</f>
        <v>12</v>
      </c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40">
        <f t="shared" si="0"/>
        <v>12</v>
      </c>
      <c r="AO27" t="s">
        <v>134</v>
      </c>
    </row>
    <row r="28" spans="1:41" x14ac:dyDescent="0.25">
      <c r="A28" t="s">
        <v>131</v>
      </c>
      <c r="B28" s="20" t="s">
        <v>65</v>
      </c>
      <c r="C28" s="27" t="s">
        <v>66</v>
      </c>
      <c r="D28" s="11"/>
      <c r="E28" s="11"/>
      <c r="F28" s="41">
        <f>'March 2026'!AL28</f>
        <v>4</v>
      </c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40">
        <f t="shared" si="0"/>
        <v>4</v>
      </c>
      <c r="AO28" t="s">
        <v>134</v>
      </c>
    </row>
    <row r="29" spans="1:41" x14ac:dyDescent="0.25">
      <c r="A29" t="s">
        <v>127</v>
      </c>
      <c r="B29" s="20" t="s">
        <v>67</v>
      </c>
      <c r="C29" s="27" t="s">
        <v>68</v>
      </c>
      <c r="D29" s="11"/>
      <c r="E29" s="11"/>
      <c r="F29" s="41">
        <f>'March 2026'!AL29</f>
        <v>284</v>
      </c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40">
        <f t="shared" si="0"/>
        <v>284</v>
      </c>
      <c r="AL29">
        <v>100</v>
      </c>
      <c r="AM29">
        <v>150</v>
      </c>
      <c r="AN29">
        <v>500</v>
      </c>
    </row>
    <row r="30" spans="1:41" x14ac:dyDescent="0.25">
      <c r="B30" s="20" t="s">
        <v>69</v>
      </c>
      <c r="C30" s="27" t="s">
        <v>70</v>
      </c>
      <c r="D30" s="11"/>
      <c r="E30" s="11"/>
      <c r="F30" s="41">
        <f>'March 2026'!AL30</f>
        <v>0</v>
      </c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40">
        <f t="shared" si="0"/>
        <v>0</v>
      </c>
      <c r="AO30" t="s">
        <v>134</v>
      </c>
    </row>
    <row r="31" spans="1:41" x14ac:dyDescent="0.25">
      <c r="B31" s="20" t="s">
        <v>71</v>
      </c>
      <c r="C31" s="27" t="s">
        <v>72</v>
      </c>
      <c r="D31" s="11"/>
      <c r="E31" s="11"/>
      <c r="F31" s="41">
        <f>'March 2026'!AL31</f>
        <v>0</v>
      </c>
      <c r="G31" s="26"/>
      <c r="H31" s="26"/>
      <c r="I31" s="26"/>
      <c r="J31" s="26"/>
      <c r="K31" s="26"/>
      <c r="L31" s="26"/>
      <c r="M31" s="37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40">
        <f t="shared" si="0"/>
        <v>0</v>
      </c>
      <c r="AO31" t="s">
        <v>134</v>
      </c>
    </row>
    <row r="32" spans="1:41" x14ac:dyDescent="0.25">
      <c r="B32" s="20" t="s">
        <v>73</v>
      </c>
      <c r="C32" s="27" t="s">
        <v>74</v>
      </c>
      <c r="D32" s="11"/>
      <c r="E32" s="11"/>
      <c r="F32" s="41">
        <f>'March 2026'!AL32</f>
        <v>45</v>
      </c>
      <c r="G32" s="26"/>
      <c r="H32" s="26"/>
      <c r="I32" s="26"/>
      <c r="J32" s="26"/>
      <c r="K32" s="26"/>
      <c r="L32" s="26"/>
      <c r="M32" s="35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40">
        <f t="shared" si="0"/>
        <v>45</v>
      </c>
      <c r="AO32" t="s">
        <v>134</v>
      </c>
    </row>
    <row r="33" spans="2:41" x14ac:dyDescent="0.25">
      <c r="B33" s="20" t="s">
        <v>75</v>
      </c>
      <c r="C33" s="27" t="s">
        <v>76</v>
      </c>
      <c r="D33" s="11"/>
      <c r="E33" s="11"/>
      <c r="F33" s="41">
        <f>'March 2026'!AL33</f>
        <v>0</v>
      </c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40">
        <f t="shared" si="0"/>
        <v>0</v>
      </c>
    </row>
    <row r="34" spans="2:41" x14ac:dyDescent="0.25">
      <c r="B34" s="20" t="s">
        <v>77</v>
      </c>
      <c r="C34" s="27" t="s">
        <v>78</v>
      </c>
      <c r="D34" s="11"/>
      <c r="E34" s="11"/>
      <c r="F34" s="41">
        <f>'March 2026'!AL34</f>
        <v>0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40">
        <f t="shared" si="0"/>
        <v>0</v>
      </c>
    </row>
    <row r="35" spans="2:41" x14ac:dyDescent="0.25">
      <c r="B35" s="20" t="s">
        <v>79</v>
      </c>
      <c r="C35" s="27" t="s">
        <v>80</v>
      </c>
      <c r="D35" s="11"/>
      <c r="E35" s="11"/>
      <c r="F35" s="41">
        <f>'March 2026'!AL35</f>
        <v>0</v>
      </c>
      <c r="G35" s="26"/>
      <c r="H35" s="26"/>
      <c r="I35" s="26">
        <v>-1</v>
      </c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40">
        <f t="shared" si="0"/>
        <v>-1</v>
      </c>
    </row>
    <row r="36" spans="2:41" x14ac:dyDescent="0.25">
      <c r="B36" s="20" t="s">
        <v>81</v>
      </c>
      <c r="C36" s="27" t="s">
        <v>82</v>
      </c>
      <c r="D36" s="11"/>
      <c r="E36" s="11"/>
      <c r="F36" s="41">
        <f>'March 2026'!AL36</f>
        <v>136</v>
      </c>
      <c r="G36" s="26"/>
      <c r="H36" s="26"/>
      <c r="I36" s="26"/>
      <c r="J36" s="26"/>
      <c r="K36" s="26"/>
      <c r="L36" s="26"/>
      <c r="M36" s="26"/>
      <c r="N36" s="26">
        <v>-20</v>
      </c>
      <c r="O36" s="26"/>
      <c r="P36" s="26"/>
      <c r="Q36" s="26"/>
      <c r="R36" s="26"/>
      <c r="S36" s="26">
        <v>-140</v>
      </c>
      <c r="T36" s="26"/>
      <c r="U36" s="26"/>
      <c r="V36" s="26"/>
      <c r="W36" s="26"/>
      <c r="X36" s="26"/>
      <c r="Y36" s="26"/>
      <c r="Z36" s="26"/>
      <c r="AA36" s="26"/>
      <c r="AB36" s="35"/>
      <c r="AC36" s="26"/>
      <c r="AD36" s="26"/>
      <c r="AE36" s="26"/>
      <c r="AF36" s="26"/>
      <c r="AG36" s="26"/>
      <c r="AH36" s="26"/>
      <c r="AI36" s="26"/>
      <c r="AJ36" s="26"/>
      <c r="AK36" s="40">
        <f t="shared" si="0"/>
        <v>-24</v>
      </c>
      <c r="AL36">
        <v>50</v>
      </c>
      <c r="AM36">
        <v>75</v>
      </c>
      <c r="AN36">
        <v>500</v>
      </c>
    </row>
    <row r="37" spans="2:41" x14ac:dyDescent="0.25">
      <c r="B37" s="20" t="s">
        <v>83</v>
      </c>
      <c r="C37" s="27" t="s">
        <v>84</v>
      </c>
      <c r="D37" s="11"/>
      <c r="E37" s="11"/>
      <c r="F37" s="41">
        <f>'March 2026'!AL37</f>
        <v>0</v>
      </c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40">
        <f t="shared" si="0"/>
        <v>0</v>
      </c>
      <c r="AO37" t="s">
        <v>134</v>
      </c>
    </row>
    <row r="38" spans="2:41" x14ac:dyDescent="0.25">
      <c r="B38" s="20" t="s">
        <v>85</v>
      </c>
      <c r="C38" s="27" t="s">
        <v>86</v>
      </c>
      <c r="D38" s="11"/>
      <c r="E38" s="11"/>
      <c r="F38" s="41">
        <f>'March 2026'!AL38</f>
        <v>88</v>
      </c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40">
        <f t="shared" si="0"/>
        <v>88</v>
      </c>
      <c r="AO38" t="s">
        <v>134</v>
      </c>
    </row>
    <row r="39" spans="2:41" x14ac:dyDescent="0.25">
      <c r="B39" s="20" t="s">
        <v>87</v>
      </c>
      <c r="C39" s="27" t="s">
        <v>88</v>
      </c>
      <c r="D39" s="11"/>
      <c r="E39" s="11"/>
      <c r="F39" s="41">
        <f>'March 2026'!AL39</f>
        <v>0</v>
      </c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40">
        <f t="shared" si="0"/>
        <v>0</v>
      </c>
      <c r="AO39" t="s">
        <v>134</v>
      </c>
    </row>
    <row r="40" spans="2:41" x14ac:dyDescent="0.25">
      <c r="B40" s="20" t="s">
        <v>89</v>
      </c>
      <c r="C40" s="27" t="s">
        <v>90</v>
      </c>
      <c r="D40" s="11"/>
      <c r="E40" s="11"/>
      <c r="F40" s="41">
        <f>'March 2026'!AL40</f>
        <v>0</v>
      </c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40">
        <f t="shared" si="0"/>
        <v>0</v>
      </c>
      <c r="AO40" t="s">
        <v>134</v>
      </c>
    </row>
    <row r="41" spans="2:41" x14ac:dyDescent="0.25">
      <c r="B41" s="20" t="s">
        <v>91</v>
      </c>
      <c r="C41" s="27" t="s">
        <v>92</v>
      </c>
      <c r="D41" s="11"/>
      <c r="E41" s="11"/>
      <c r="F41" s="41">
        <f>'March 2026'!AL41</f>
        <v>-28</v>
      </c>
      <c r="G41" s="26"/>
      <c r="H41" s="34"/>
      <c r="I41" s="26"/>
      <c r="J41" s="26"/>
      <c r="K41" s="26"/>
      <c r="L41" s="26">
        <v>-20</v>
      </c>
      <c r="M41" s="26">
        <v>-2</v>
      </c>
      <c r="N41" s="26">
        <v>-79</v>
      </c>
      <c r="O41" s="26"/>
      <c r="P41" s="26">
        <v>-10</v>
      </c>
      <c r="Q41" s="26"/>
      <c r="R41" s="26"/>
      <c r="S41" s="26">
        <v>-14</v>
      </c>
      <c r="T41" s="26"/>
      <c r="U41" s="26"/>
      <c r="V41" s="35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40">
        <f t="shared" si="0"/>
        <v>-153</v>
      </c>
      <c r="AL41">
        <v>50</v>
      </c>
      <c r="AM41">
        <v>100</v>
      </c>
      <c r="AN41">
        <v>500</v>
      </c>
    </row>
    <row r="42" spans="2:41" x14ac:dyDescent="0.25">
      <c r="B42" s="20" t="s">
        <v>93</v>
      </c>
      <c r="C42" s="27" t="s">
        <v>94</v>
      </c>
      <c r="D42" s="11"/>
      <c r="E42" s="11"/>
      <c r="F42" s="41">
        <f>'March 2026'!AL42</f>
        <v>1</v>
      </c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40">
        <f t="shared" si="0"/>
        <v>1</v>
      </c>
      <c r="AO42" t="s">
        <v>134</v>
      </c>
    </row>
    <row r="43" spans="2:41" x14ac:dyDescent="0.25">
      <c r="B43" s="20" t="s">
        <v>95</v>
      </c>
      <c r="C43" s="27" t="s">
        <v>96</v>
      </c>
      <c r="D43" s="11"/>
      <c r="E43" s="11"/>
      <c r="F43" s="41">
        <f>'March 2026'!AL43</f>
        <v>2</v>
      </c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40">
        <f t="shared" ref="AK43:AK59" si="1">F43+SUM(G43:AJ43)</f>
        <v>2</v>
      </c>
      <c r="AO43" t="s">
        <v>134</v>
      </c>
    </row>
    <row r="44" spans="2:41" x14ac:dyDescent="0.25">
      <c r="B44" s="20" t="s">
        <v>97</v>
      </c>
      <c r="C44" s="27" t="s">
        <v>98</v>
      </c>
      <c r="D44" s="11"/>
      <c r="E44" s="11"/>
      <c r="F44" s="41">
        <f>'March 2026'!AL44</f>
        <v>89</v>
      </c>
      <c r="G44" s="26"/>
      <c r="H44" s="26"/>
      <c r="I44" s="26"/>
      <c r="J44" s="26"/>
      <c r="K44" s="26"/>
      <c r="L44" s="26"/>
      <c r="M44" s="26">
        <v>-2</v>
      </c>
      <c r="N44" s="26"/>
      <c r="O44" s="26"/>
      <c r="P44" s="26"/>
      <c r="Q44" s="26"/>
      <c r="R44" s="26"/>
      <c r="S44" s="26">
        <v>-12</v>
      </c>
      <c r="T44" s="26"/>
      <c r="U44" s="26"/>
      <c r="V44" s="26"/>
      <c r="W44" s="26"/>
      <c r="X44" s="26"/>
      <c r="Y44" s="26"/>
      <c r="Z44" s="26"/>
      <c r="AA44" s="26"/>
      <c r="AB44" s="35"/>
      <c r="AC44" s="26"/>
      <c r="AD44" s="26"/>
      <c r="AE44" s="26"/>
      <c r="AF44" s="26"/>
      <c r="AG44" s="26"/>
      <c r="AH44" s="26"/>
      <c r="AI44" s="26"/>
      <c r="AJ44" s="26"/>
      <c r="AK44" s="40">
        <f t="shared" si="1"/>
        <v>75</v>
      </c>
      <c r="AL44">
        <v>25</v>
      </c>
      <c r="AM44">
        <v>50</v>
      </c>
      <c r="AN44">
        <v>200</v>
      </c>
    </row>
    <row r="45" spans="2:41" x14ac:dyDescent="0.25">
      <c r="B45" s="20" t="s">
        <v>99</v>
      </c>
      <c r="C45" s="27" t="s">
        <v>100</v>
      </c>
      <c r="D45" s="11"/>
      <c r="E45" s="11"/>
      <c r="F45" s="41">
        <f>'March 2026'!AL45</f>
        <v>2</v>
      </c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40">
        <f t="shared" si="1"/>
        <v>2</v>
      </c>
      <c r="AO45" t="s">
        <v>134</v>
      </c>
    </row>
    <row r="46" spans="2:41" x14ac:dyDescent="0.25">
      <c r="B46" s="20" t="s">
        <v>101</v>
      </c>
      <c r="C46" s="27" t="s">
        <v>102</v>
      </c>
      <c r="D46" s="11"/>
      <c r="E46" s="11"/>
      <c r="F46" s="41">
        <f>'March 2026'!AL46</f>
        <v>0</v>
      </c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40">
        <f t="shared" si="1"/>
        <v>0</v>
      </c>
    </row>
    <row r="47" spans="2:41" x14ac:dyDescent="0.25">
      <c r="B47" s="20" t="s">
        <v>103</v>
      </c>
      <c r="C47" s="27" t="s">
        <v>104</v>
      </c>
      <c r="D47" s="11"/>
      <c r="E47" s="11"/>
      <c r="F47" s="41">
        <f>'March 2026'!AL47</f>
        <v>131</v>
      </c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40">
        <f t="shared" si="1"/>
        <v>131</v>
      </c>
      <c r="AO47" t="s">
        <v>134</v>
      </c>
    </row>
    <row r="48" spans="2:41" x14ac:dyDescent="0.25">
      <c r="B48" s="20"/>
      <c r="C48" s="27" t="s">
        <v>105</v>
      </c>
      <c r="D48" s="11"/>
      <c r="E48" s="11"/>
      <c r="F48" s="41">
        <f>'March 2026'!AL48</f>
        <v>-2</v>
      </c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40">
        <f t="shared" si="1"/>
        <v>-2</v>
      </c>
      <c r="AO48" t="s">
        <v>134</v>
      </c>
    </row>
    <row r="49" spans="1:41" x14ac:dyDescent="0.25">
      <c r="B49" s="20" t="s">
        <v>106</v>
      </c>
      <c r="C49" s="27" t="s">
        <v>107</v>
      </c>
      <c r="D49" s="11"/>
      <c r="E49" s="11"/>
      <c r="F49" s="41">
        <f>'March 2026'!AL49</f>
        <v>1002</v>
      </c>
      <c r="G49" s="26"/>
      <c r="H49" s="26"/>
      <c r="I49" s="26"/>
      <c r="J49" s="26"/>
      <c r="K49" s="26"/>
      <c r="L49" s="26">
        <v>-20</v>
      </c>
      <c r="M49" s="26">
        <v>-2</v>
      </c>
      <c r="N49" s="26">
        <v>-79</v>
      </c>
      <c r="O49" s="26"/>
      <c r="P49" s="26">
        <v>-10</v>
      </c>
      <c r="Q49" s="26"/>
      <c r="R49" s="26"/>
      <c r="S49" s="26"/>
      <c r="T49" s="26"/>
      <c r="U49" s="26"/>
      <c r="V49" s="26"/>
      <c r="W49" s="26">
        <v>-44</v>
      </c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40">
        <f t="shared" si="1"/>
        <v>847</v>
      </c>
      <c r="AL49">
        <v>300</v>
      </c>
      <c r="AM49">
        <v>500</v>
      </c>
      <c r="AN49">
        <v>1000</v>
      </c>
    </row>
    <row r="50" spans="1:41" x14ac:dyDescent="0.25">
      <c r="B50" s="20" t="s">
        <v>108</v>
      </c>
      <c r="C50" s="27" t="s">
        <v>109</v>
      </c>
      <c r="D50" s="11"/>
      <c r="E50" s="11"/>
      <c r="F50" s="41">
        <f>'March 2026'!AL50</f>
        <v>0</v>
      </c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40">
        <f t="shared" si="1"/>
        <v>0</v>
      </c>
      <c r="AO50" t="s">
        <v>134</v>
      </c>
    </row>
    <row r="51" spans="1:41" x14ac:dyDescent="0.25">
      <c r="B51" s="20" t="s">
        <v>110</v>
      </c>
      <c r="C51" s="27" t="s">
        <v>111</v>
      </c>
      <c r="D51" s="11"/>
      <c r="E51" s="11"/>
      <c r="F51" s="41">
        <f>'March 2026'!AL51</f>
        <v>3</v>
      </c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40">
        <f t="shared" si="1"/>
        <v>3</v>
      </c>
      <c r="AO51" t="s">
        <v>134</v>
      </c>
    </row>
    <row r="52" spans="1:41" x14ac:dyDescent="0.25">
      <c r="B52" s="20" t="s">
        <v>112</v>
      </c>
      <c r="C52" s="27" t="s">
        <v>113</v>
      </c>
      <c r="D52" s="11"/>
      <c r="E52" s="11"/>
      <c r="F52" s="41">
        <f>'March 2026'!AL52</f>
        <v>0</v>
      </c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40">
        <f t="shared" si="1"/>
        <v>0</v>
      </c>
      <c r="AO52" t="s">
        <v>134</v>
      </c>
    </row>
    <row r="53" spans="1:41" x14ac:dyDescent="0.25">
      <c r="B53" s="25"/>
      <c r="C53" s="27" t="s">
        <v>114</v>
      </c>
      <c r="D53" s="11"/>
      <c r="E53" s="11"/>
      <c r="F53" s="41">
        <f>'March 2026'!AL53</f>
        <v>0</v>
      </c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40">
        <f t="shared" si="1"/>
        <v>0</v>
      </c>
      <c r="AO53" t="s">
        <v>134</v>
      </c>
    </row>
    <row r="54" spans="1:41" x14ac:dyDescent="0.25">
      <c r="B54" s="20" t="s">
        <v>115</v>
      </c>
      <c r="C54" s="27" t="s">
        <v>116</v>
      </c>
      <c r="D54" s="11"/>
      <c r="E54" s="11"/>
      <c r="F54" s="41">
        <f>'March 2026'!AL54</f>
        <v>45</v>
      </c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40">
        <f t="shared" si="1"/>
        <v>45</v>
      </c>
      <c r="AO54" t="s">
        <v>134</v>
      </c>
    </row>
    <row r="55" spans="1:41" x14ac:dyDescent="0.25">
      <c r="B55" s="20" t="s">
        <v>117</v>
      </c>
      <c r="C55" s="27" t="s">
        <v>118</v>
      </c>
      <c r="D55" s="11"/>
      <c r="E55" s="11"/>
      <c r="F55" s="41">
        <f>'March 2026'!AL55</f>
        <v>40</v>
      </c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40">
        <f t="shared" si="1"/>
        <v>40</v>
      </c>
      <c r="AO55" t="s">
        <v>134</v>
      </c>
    </row>
    <row r="56" spans="1:41" x14ac:dyDescent="0.25">
      <c r="B56" s="20" t="s">
        <v>119</v>
      </c>
      <c r="C56" s="27" t="s">
        <v>120</v>
      </c>
      <c r="D56" s="11"/>
      <c r="E56" s="11"/>
      <c r="F56" s="41">
        <f>'March 2026'!AL56</f>
        <v>16</v>
      </c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40">
        <f t="shared" si="1"/>
        <v>16</v>
      </c>
      <c r="AO56" t="s">
        <v>134</v>
      </c>
    </row>
    <row r="57" spans="1:41" x14ac:dyDescent="0.25">
      <c r="B57" s="20" t="s">
        <v>121</v>
      </c>
      <c r="C57" s="27" t="s">
        <v>122</v>
      </c>
      <c r="D57" s="11"/>
      <c r="E57" s="11"/>
      <c r="F57" s="41">
        <f>'March 2026'!AL57</f>
        <v>-16</v>
      </c>
      <c r="G57" s="26"/>
      <c r="H57" s="26"/>
      <c r="I57" s="26">
        <v>-25</v>
      </c>
      <c r="J57" s="26"/>
      <c r="K57" s="26"/>
      <c r="L57" s="26"/>
      <c r="M57" s="26"/>
      <c r="N57" s="26">
        <v>-40</v>
      </c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40">
        <f t="shared" si="1"/>
        <v>-81</v>
      </c>
      <c r="AL57">
        <v>50</v>
      </c>
      <c r="AM57">
        <v>75</v>
      </c>
      <c r="AN57">
        <v>500</v>
      </c>
    </row>
    <row r="58" spans="1:41" x14ac:dyDescent="0.25">
      <c r="B58" s="20" t="s">
        <v>123</v>
      </c>
      <c r="C58" s="27" t="s">
        <v>124</v>
      </c>
      <c r="D58" s="11"/>
      <c r="E58" s="11"/>
      <c r="F58" s="41">
        <f>'March 2026'!AL58</f>
        <v>26</v>
      </c>
      <c r="G58" s="26"/>
      <c r="H58" s="26"/>
      <c r="I58" s="26"/>
      <c r="J58" s="26"/>
      <c r="K58" s="26"/>
      <c r="L58" s="26"/>
      <c r="M58" s="26">
        <v>-2</v>
      </c>
      <c r="N58" s="26"/>
      <c r="O58" s="26"/>
      <c r="P58" s="26"/>
      <c r="Q58" s="26"/>
      <c r="R58" s="26"/>
      <c r="S58" s="26">
        <v>-12</v>
      </c>
      <c r="T58" s="26"/>
      <c r="U58" s="26"/>
      <c r="V58" s="26"/>
      <c r="W58" s="26"/>
      <c r="X58" s="26"/>
      <c r="Y58" s="26"/>
      <c r="Z58" s="35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40">
        <f t="shared" si="1"/>
        <v>12</v>
      </c>
      <c r="AL58">
        <v>10</v>
      </c>
      <c r="AM58">
        <v>15</v>
      </c>
      <c r="AN58">
        <v>25</v>
      </c>
    </row>
    <row r="59" spans="1:41" x14ac:dyDescent="0.25">
      <c r="B59" s="20" t="s">
        <v>125</v>
      </c>
      <c r="C59" s="27" t="s">
        <v>126</v>
      </c>
      <c r="D59" s="11"/>
      <c r="E59" s="11"/>
      <c r="F59" s="41">
        <f>'March 2026'!AL59</f>
        <v>143</v>
      </c>
      <c r="G59" s="26"/>
      <c r="H59" s="26"/>
      <c r="I59" s="26"/>
      <c r="J59" s="26"/>
      <c r="K59" s="26"/>
      <c r="L59" s="26">
        <v>-18</v>
      </c>
      <c r="M59" s="26">
        <v>-2</v>
      </c>
      <c r="N59" s="26"/>
      <c r="O59" s="26"/>
      <c r="P59" s="26"/>
      <c r="Q59" s="26"/>
      <c r="R59" s="26"/>
      <c r="S59" s="26">
        <v>-12</v>
      </c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40">
        <f t="shared" si="1"/>
        <v>111</v>
      </c>
      <c r="AL59">
        <v>10</v>
      </c>
      <c r="AM59">
        <v>15</v>
      </c>
      <c r="AN59">
        <v>25</v>
      </c>
    </row>
    <row r="60" spans="1:41" ht="15.75" thickBot="1" x14ac:dyDescent="0.3">
      <c r="A60" s="1"/>
      <c r="B60" s="2"/>
      <c r="C60" s="2"/>
      <c r="D60" s="32"/>
      <c r="E60" s="33"/>
      <c r="F60" s="41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1"/>
      <c r="AL60" s="1"/>
      <c r="AM60" s="1"/>
      <c r="AN60" s="1"/>
      <c r="AO60" s="1"/>
    </row>
    <row r="61" spans="1:41" ht="32.25" thickBot="1" x14ac:dyDescent="0.3">
      <c r="A61" s="1"/>
      <c r="B61" s="6" t="s">
        <v>21</v>
      </c>
      <c r="C61" s="18"/>
      <c r="D61" s="19"/>
      <c r="E61" s="9" t="s">
        <v>22</v>
      </c>
      <c r="F61" s="22" t="s">
        <v>23</v>
      </c>
      <c r="G61" s="30" t="s">
        <v>24</v>
      </c>
      <c r="H61" s="3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16.5" thickBot="1" x14ac:dyDescent="0.3">
      <c r="A62" s="1"/>
      <c r="B62" s="7" t="s">
        <v>25</v>
      </c>
      <c r="C62" s="19"/>
      <c r="D62" s="19"/>
      <c r="E62" s="8"/>
      <c r="F62" s="21"/>
      <c r="G62" s="59"/>
      <c r="H62" s="60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ht="32.25" thickBot="1" x14ac:dyDescent="0.3">
      <c r="A63" s="1"/>
      <c r="B63" s="7" t="s">
        <v>26</v>
      </c>
      <c r="C63" s="19"/>
      <c r="D63" s="19"/>
      <c r="E63" s="9"/>
      <c r="F63" s="22"/>
      <c r="G63" s="61"/>
      <c r="H63" s="6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16.5" thickBot="1" x14ac:dyDescent="0.3">
      <c r="A64" s="1"/>
      <c r="B64" s="7" t="s">
        <v>27</v>
      </c>
      <c r="C64" s="19"/>
      <c r="D64" s="19"/>
      <c r="E64" s="10"/>
      <c r="F64" s="23"/>
      <c r="G64" s="63"/>
      <c r="H64" s="6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15.75" x14ac:dyDescent="0.25">
      <c r="A65" s="1"/>
      <c r="B65" s="65" t="s">
        <v>28</v>
      </c>
      <c r="C65" s="16"/>
      <c r="D65" s="16"/>
      <c r="E65" s="68"/>
      <c r="F65" s="71"/>
      <c r="G65" s="74"/>
      <c r="H65" s="7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5.75" x14ac:dyDescent="0.25">
      <c r="A66" s="1"/>
      <c r="B66" s="66"/>
      <c r="C66" s="17"/>
      <c r="D66" s="17"/>
      <c r="E66" s="69"/>
      <c r="F66" s="72"/>
      <c r="G66" s="74"/>
      <c r="H66" s="7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16.5" thickBot="1" x14ac:dyDescent="0.3">
      <c r="A67" s="1"/>
      <c r="B67" s="67"/>
      <c r="C67" s="7"/>
      <c r="D67" s="7"/>
      <c r="E67" s="70"/>
      <c r="F67" s="73"/>
      <c r="G67" s="76"/>
      <c r="H67" s="7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x14ac:dyDescent="0.25">
      <c r="A68" s="1"/>
      <c r="B68" s="2"/>
      <c r="C68" s="2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x14ac:dyDescent="0.25">
      <c r="A69" s="1"/>
      <c r="B69" s="2"/>
      <c r="C69" s="2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x14ac:dyDescent="0.25">
      <c r="A70" s="1"/>
      <c r="B70" s="2"/>
      <c r="C70" s="2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x14ac:dyDescent="0.25">
      <c r="A71" s="1"/>
      <c r="B71" s="2"/>
      <c r="C71" s="2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x14ac:dyDescent="0.25">
      <c r="A72" s="1"/>
      <c r="B72" s="2"/>
      <c r="C72" s="2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x14ac:dyDescent="0.25">
      <c r="A73" s="1"/>
      <c r="B73" s="2"/>
      <c r="C73" s="2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</sheetData>
  <mergeCells count="24">
    <mergeCell ref="G62:H62"/>
    <mergeCell ref="G63:H63"/>
    <mergeCell ref="G64:H64"/>
    <mergeCell ref="B65:B67"/>
    <mergeCell ref="E65:E67"/>
    <mergeCell ref="F65:F67"/>
    <mergeCell ref="G65:H67"/>
    <mergeCell ref="E6:G6"/>
    <mergeCell ref="H6:J6"/>
    <mergeCell ref="K6:L6"/>
    <mergeCell ref="M6:Q6"/>
    <mergeCell ref="E7:G7"/>
    <mergeCell ref="H7:J7"/>
    <mergeCell ref="K7:L7"/>
    <mergeCell ref="M7:Q7"/>
    <mergeCell ref="E1:Q1"/>
    <mergeCell ref="E2:Q2"/>
    <mergeCell ref="E3:Q3"/>
    <mergeCell ref="E4:Q4"/>
    <mergeCell ref="E5:G5"/>
    <mergeCell ref="H5:J5"/>
    <mergeCell ref="K5:L5"/>
    <mergeCell ref="N5:O5"/>
    <mergeCell ref="P5:Q5"/>
  </mergeCells>
  <conditionalFormatting sqref="AK11:AK59">
    <cfRule type="cellIs" dxfId="2" priority="1" operator="greaterThan">
      <formula>#REF!</formula>
    </cfRule>
    <cfRule type="cellIs" dxfId="1" priority="2" operator="between">
      <formula>11</formula>
      <formula>50</formula>
    </cfRule>
    <cfRule type="cellIs" dxfId="0" priority="3" operator="lessThan">
      <formula>#REF!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Jan 2026</vt:lpstr>
      <vt:lpstr>Feb 2026</vt:lpstr>
      <vt:lpstr>March 2026</vt:lpstr>
      <vt:lpstr>April 2026</vt:lpstr>
      <vt:lpstr>'Jan 2026'!_Hlk122640495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2026-04-17T10:40:41Z</dcterms:modified>
  <cp:category/>
  <cp:contentStatus/>
</cp:coreProperties>
</file>