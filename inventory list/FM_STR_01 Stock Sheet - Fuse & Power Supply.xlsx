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95BD6D91-8E0B-4F29-B657-297B79A485F8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Hlk122640495" localSheetId="0">'Jan 2026'!$B$26</definedName>
    <definedName name="_Hlk122640495" localSheetId="2">'March 2026'!$B$26</definedName>
    <definedName name="_Hlk126512593" localSheetId="0">'Jan 2026'!#REF!</definedName>
    <definedName name="_Hlk126512593" localSheetId="2">'March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7" l="1"/>
  <c r="S16" i="7"/>
  <c r="N13" i="7"/>
  <c r="U13" i="7" l="1"/>
  <c r="L13" i="7"/>
  <c r="L17" i="7"/>
  <c r="I16" i="7" l="1"/>
  <c r="F12" i="7"/>
  <c r="F13" i="7"/>
  <c r="F14" i="7"/>
  <c r="AK14" i="7" s="1"/>
  <c r="F15" i="7"/>
  <c r="AK15" i="7" s="1"/>
  <c r="F16" i="7"/>
  <c r="F18" i="7"/>
  <c r="F19" i="7"/>
  <c r="AK19" i="7" s="1"/>
  <c r="F20" i="7"/>
  <c r="F21" i="7"/>
  <c r="F22" i="7"/>
  <c r="F11" i="7"/>
  <c r="AK11" i="7" s="1"/>
  <c r="AK23" i="7"/>
  <c r="AK22" i="7"/>
  <c r="AK21" i="7"/>
  <c r="AK20" i="7"/>
  <c r="AK18" i="7"/>
  <c r="AK16" i="7"/>
  <c r="AF13" i="6"/>
  <c r="AF16" i="6"/>
  <c r="AJ17" i="6"/>
  <c r="AK12" i="7" l="1"/>
  <c r="AK13" i="7"/>
  <c r="Q18" i="6" l="1"/>
  <c r="Q12" i="6"/>
  <c r="Q15" i="6"/>
  <c r="L13" i="6"/>
  <c r="L16" i="6"/>
  <c r="R22" i="6" l="1"/>
  <c r="J17" i="5" l="1"/>
  <c r="K17" i="6" l="1"/>
  <c r="K16" i="6" l="1"/>
  <c r="K13" i="6"/>
  <c r="R17" i="1"/>
  <c r="R17" i="5"/>
  <c r="V12" i="1"/>
  <c r="V15" i="1"/>
  <c r="O15" i="1"/>
  <c r="AH17" i="1"/>
  <c r="AB18" i="1"/>
  <c r="L17" i="1"/>
  <c r="H17" i="1"/>
  <c r="F14" i="6" l="1"/>
  <c r="F16" i="6"/>
  <c r="F19" i="6"/>
  <c r="AL19" i="6" s="1"/>
  <c r="F20" i="6"/>
  <c r="F21" i="6"/>
  <c r="F22" i="6"/>
  <c r="F11" i="6"/>
  <c r="AL23" i="6"/>
  <c r="AL22" i="6"/>
  <c r="AL21" i="6"/>
  <c r="AL20" i="6"/>
  <c r="AL16" i="6"/>
  <c r="AL14" i="6"/>
  <c r="AL11" i="6"/>
  <c r="F14" i="5"/>
  <c r="F16" i="5"/>
  <c r="F19" i="5"/>
  <c r="F20" i="5"/>
  <c r="F21" i="5"/>
  <c r="F22" i="5"/>
  <c r="F11" i="5"/>
  <c r="AL11" i="1"/>
  <c r="AK13" i="1"/>
  <c r="K17" i="5"/>
  <c r="AH17" i="5"/>
  <c r="AD17" i="5"/>
  <c r="S17" i="5"/>
  <c r="S16" i="5"/>
  <c r="S13" i="5"/>
  <c r="AD16" i="5"/>
  <c r="AD13" i="5"/>
  <c r="Z17" i="5" l="1"/>
  <c r="Z16" i="5"/>
  <c r="Z13" i="5"/>
  <c r="J16" i="5"/>
  <c r="J13" i="5"/>
  <c r="K16" i="5"/>
  <c r="K13" i="5"/>
  <c r="H16" i="5"/>
  <c r="H13" i="5"/>
  <c r="AI23" i="5"/>
  <c r="AI22" i="5"/>
  <c r="AI21" i="5"/>
  <c r="AI20" i="5"/>
  <c r="AI19" i="5"/>
  <c r="AI14" i="5"/>
  <c r="AI11" i="5"/>
  <c r="AJ17" i="1"/>
  <c r="AJ16" i="1"/>
  <c r="AJ13" i="1"/>
  <c r="AC16" i="1"/>
  <c r="AC13" i="1"/>
  <c r="AB16" i="1"/>
  <c r="AB13" i="1"/>
  <c r="W18" i="1"/>
  <c r="W15" i="1"/>
  <c r="W12" i="1"/>
  <c r="S17" i="1"/>
  <c r="S16" i="1"/>
  <c r="S13" i="1"/>
  <c r="AI16" i="5" l="1"/>
  <c r="AL12" i="1" l="1"/>
  <c r="F12" i="5" s="1"/>
  <c r="AI12" i="5" s="1"/>
  <c r="F12" i="6" s="1"/>
  <c r="AL12" i="6" s="1"/>
  <c r="AL13" i="1"/>
  <c r="F13" i="5" s="1"/>
  <c r="AI13" i="5" s="1"/>
  <c r="F13" i="6" s="1"/>
  <c r="AL13" i="6" s="1"/>
  <c r="AL14" i="1"/>
  <c r="AL15" i="1"/>
  <c r="F15" i="5" s="1"/>
  <c r="AI15" i="5" s="1"/>
  <c r="F15" i="6" s="1"/>
  <c r="AL15" i="6" s="1"/>
  <c r="AL16" i="1"/>
  <c r="AL17" i="1"/>
  <c r="F17" i="5" s="1"/>
  <c r="AI17" i="5" s="1"/>
  <c r="F17" i="6" s="1"/>
  <c r="AL17" i="6" s="1"/>
  <c r="F17" i="7" s="1"/>
  <c r="AK17" i="7" s="1"/>
  <c r="AL18" i="1"/>
  <c r="F18" i="5" s="1"/>
  <c r="AI18" i="5" s="1"/>
  <c r="F18" i="6" s="1"/>
  <c r="AL18" i="6" s="1"/>
  <c r="AL19" i="1"/>
  <c r="AL20" i="1"/>
  <c r="AL21" i="1"/>
  <c r="AL23" i="1" l="1"/>
  <c r="AL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K13" authorId="0" shapeId="0" xr:uid="{18AED4EB-69BB-44DD-A70C-E840ECBC87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U15" authorId="0" shapeId="0" xr:uid="{BF6E9F42-CB91-4115-B338-B94B19125C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Inv-AE/CR/25-26/4060 Dt.16-Jan-26</t>
        </r>
      </text>
    </comment>
    <comment ref="AK16" authorId="0" shapeId="0" xr:uid="{BA039F45-7B50-4357-A550-2670E22012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AG17" authorId="0" shapeId="0" xr:uid="{D382206C-30C1-4CA1-8478-D49BE2C71F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       Inv-14341 Dt.27-jan-26</t>
        </r>
      </text>
    </comment>
    <comment ref="Y18" authorId="0" shapeId="0" xr:uid="{DE17C2A0-A3E0-4CA8-A8E3-077D83E7AC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Inv -14092     Dt.19-Jan-26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6D927C51-9B39-4DF3-B777-9571503809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A16" authorId="0" shapeId="0" xr:uid="{09E74A8C-049F-4F15-A30D-A77E825782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 -AE/CR/25-26/4567  Dt.21-Feb-26</t>
        </r>
      </text>
    </comment>
    <comment ref="I17" authorId="0" shapeId="0" xr:uid="{9D63F7A9-7DB5-49D0-A045-4C079FFB00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Inv -14904 Dt.4-Feb-26
</t>
        </r>
      </text>
    </comment>
    <comment ref="X17" authorId="0" shapeId="0" xr:uid="{6216B421-8671-4E9E-8EDC-381D6169A1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Inv -15638 Dt.18-Feb-26
</t>
        </r>
      </text>
    </comment>
    <comment ref="AF17" authorId="0" shapeId="0" xr:uid="{A6AE457F-1E70-456A-BF0D-7588F4CA3C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Inv -16071 Dt.27-Feb-26
</t>
        </r>
      </text>
    </comment>
    <comment ref="Q18" authorId="0" shapeId="0" xr:uid="{287ABD40-E7A1-46A5-ABDE-E552A5C047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Inv -15251 Dt.11-Feb-26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021C4D24-A713-425C-9DCB-C724B930AB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R17" authorId="0" shapeId="0" xr:uid="{5EDD33B1-C652-446C-AA0A-74B3E40FFC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             Inv-16658
 Dt-9-Mar-26</t>
        </r>
      </text>
    </comment>
    <comment ref="U17" authorId="0" shapeId="0" xr:uid="{C13753C5-D7FC-450E-9928-D38F4DA226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Material Returned to Store From Vasavi &amp; Belenus</t>
        </r>
      </text>
    </comment>
    <comment ref="H18" authorId="0" shapeId="0" xr:uid="{B0690C59-088B-40B7-9E00-E60B2B9CB7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                             Inv-16170  Dt.26-feb-26</t>
        </r>
      </text>
    </comment>
    <comment ref="M22" authorId="0" shapeId="0" xr:uid="{32FB0C9E-2FDD-4F2B-97C4-61928FC920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 Inv-AE/CR/25-26-4844
 Dt-12-Mar-26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A1844706-DB79-46F5-B830-6E79AE9A8C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P12" authorId="0" shapeId="0" xr:uid="{82993C06-DDE1-4894-BD48-652D872687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Inv-AE/CR/26-27-155
 Dt.10-04-2026
</t>
        </r>
      </text>
    </comment>
    <comment ref="R13" authorId="0" shapeId="0" xr:uid="{38297899-0500-4E4F-8A15-528F1097DF8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Aarthi Electronics
Inv-AE/CR/26-27-142
Dt.9-Apr-26</t>
        </r>
      </text>
    </comment>
    <comment ref="R16" authorId="0" shapeId="0" xr:uid="{42A07342-865C-4D7D-8725-66725CF1719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Aarthi Electronics
Inv-AE/CR/26-27-142
Dt.9-Apr-26</t>
        </r>
      </text>
    </comment>
    <comment ref="W16" authorId="0" shapeId="0" xr:uid="{E86E28C9-65CD-48CB-B126-D1FF6C8934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Inv-AE/CR/26-27-269
Dt.17-Apr-26</t>
        </r>
      </text>
    </comment>
    <comment ref="J17" authorId="0" shapeId="0" xr:uid="{9E4DE81A-DB71-4A5E-9C32-EB9AA97AF6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
Inv-33 Dt-3-Apr-26</t>
        </r>
      </text>
    </comment>
    <comment ref="J18" authorId="0" shapeId="0" xr:uid="{248108B3-27D2-4A61-B060-C99F0496B8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
Inv-33 Dt-3-Apr-26</t>
        </r>
      </text>
    </comment>
  </commentList>
</comments>
</file>

<file path=xl/sharedStrings.xml><?xml version="1.0" encoding="utf-8"?>
<sst xmlns="http://schemas.openxmlformats.org/spreadsheetml/2006/main" count="280" uniqueCount="58">
  <si>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</si>
  <si>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</si>
  <si>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</si>
  <si>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</si>
  <si>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</si>
  <si>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</si>
  <si>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</si>
  <si>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</si>
  <si>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</si>
  <si>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</si>
  <si>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</si>
  <si>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</si>
  <si>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</si>
  <si>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</si>
  <si>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</si>
  <si>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</si>
  <si>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</si>
  <si>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</si>
  <si>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</si>
  <si>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</si>
  <si>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</si>
  <si>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</si>
  <si>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</si>
  <si>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</si>
  <si>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</si>
  <si>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</si>
  <si>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</si>
  <si>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</si>
  <si>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</si>
  <si>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</si>
  <si>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</si>
  <si>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FUS-0100001</t>
  </si>
  <si>
    <t>Fuse 2A - TellerX</t>
  </si>
  <si>
    <t>FUS-0100002</t>
  </si>
  <si>
    <t>Fuse 500mA - NCS</t>
  </si>
  <si>
    <t>FUS-0100003</t>
  </si>
  <si>
    <t>Fuse Holder - 6.5V/250V TH</t>
  </si>
  <si>
    <t>FUS-0100004</t>
  </si>
  <si>
    <t>Fuse Holder - TellerX</t>
  </si>
  <si>
    <t>FUS-0100005</t>
  </si>
  <si>
    <t>Fuse Holder - Wire</t>
  </si>
  <si>
    <t>PSY-0110001</t>
  </si>
  <si>
    <t>HLK-PM03 - 3w 3.3V Power Supply</t>
  </si>
  <si>
    <t>PSY-0110002</t>
  </si>
  <si>
    <t>HLK-20M05 - 20W 5V Power Supply</t>
  </si>
  <si>
    <t>PSY-0110003</t>
  </si>
  <si>
    <t>Power Supply LRS 50-5 (100-240V)</t>
  </si>
  <si>
    <t>PSY-0110004</t>
  </si>
  <si>
    <t>Power Supply LM75-23B24R2 - 24V 3.2A</t>
  </si>
  <si>
    <t>PSY-0110006</t>
  </si>
  <si>
    <t>HLK-20M24 - 20W 24V Power Supply</t>
  </si>
  <si>
    <t>PSY-0110007</t>
  </si>
  <si>
    <t>Power Supply  IRS -350-36SMPS</t>
  </si>
  <si>
    <t>Fuse 1A</t>
  </si>
  <si>
    <t>B6</t>
  </si>
  <si>
    <t>Opening Stock</t>
  </si>
  <si>
    <t>Closing Stock</t>
  </si>
  <si>
    <t>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</si>
</sst>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5" fillId="2" borderId="4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0" fontId="12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vertical="top"/>
    </xf>
    <xf numFmtId="0" fontId="6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5" fillId="2" borderId="20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4" fillId="3" borderId="0" xfId="0" applyFont="1" applyFill="1" applyAlignment="1">
      <alignment vertical="top"/>
    </xf>
    <xf numFmtId="1" fontId="1" fillId="0" borderId="1" xfId="0" applyNumberFormat="1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14" fontId="16" fillId="0" borderId="1" xfId="0" applyNumberFormat="1" applyFont="1" applyBorder="1"/>
    <xf numFmtId="0" fontId="1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1" fontId="13" fillId="4" borderId="13" xfId="0" applyNumberFormat="1" applyFont="1" applyFill="1" applyBorder="1" applyAlignment="1">
      <alignment horizontal="center" wrapText="1"/>
    </xf>
    <xf numFmtId="0" fontId="13" fillId="4" borderId="1" xfId="0" applyFont="1" applyFill="1" applyBorder="1"/>
    <xf numFmtId="0" fontId="1" fillId="0" borderId="1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20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2"/>
  <sheetViews>
    <sheetView workbookViewId="0">
      <pane xSplit="3" ySplit="10" topLeftCell="Z11" activePane="bottomRight" state="frozen"/>
      <selection pane="topRight" activeCell="D1" sqref="D1"/>
      <selection pane="bottomLeft" activeCell="A11" sqref="A11"/>
      <selection pane="bottomRight" activeCell="AL16" sqref="AL16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9.7109375" style="2" customWidth="1"/>
    <col min="5" max="37" width="9.7109375" style="1" customWidth="1"/>
    <col min="38" max="16384" width="16.85546875" style="1"/>
  </cols>
  <sheetData>
    <row r="1" spans="1:43" customFormat="1" ht="23.45" customHeight="1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43" customFormat="1" ht="15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43" customFormat="1" ht="15.75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43" customFormat="1" ht="15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43" customFormat="1" ht="15.75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1">
        <v>0</v>
      </c>
      <c r="N5" s="71" t="s">
        <v>5</v>
      </c>
      <c r="O5" s="71"/>
      <c r="P5" s="72"/>
      <c r="Q5" s="73"/>
    </row>
    <row r="6" spans="1:43" customFormat="1" ht="15.75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43" customFormat="1" ht="15.75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5" t="s">
        <v>14</v>
      </c>
      <c r="C10" s="5" t="s">
        <v>15</v>
      </c>
      <c r="D10" s="5" t="s">
        <v>16</v>
      </c>
      <c r="E10" s="6" t="s">
        <v>17</v>
      </c>
      <c r="F10" s="13" t="s">
        <v>55</v>
      </c>
      <c r="G10" s="32">
        <v>46023</v>
      </c>
      <c r="H10" s="32">
        <v>46024</v>
      </c>
      <c r="I10" s="32">
        <v>46025</v>
      </c>
      <c r="J10" s="32">
        <v>46026</v>
      </c>
      <c r="K10" s="32">
        <v>46027</v>
      </c>
      <c r="L10" s="32">
        <v>46028</v>
      </c>
      <c r="M10" s="32">
        <v>46029</v>
      </c>
      <c r="N10" s="32">
        <v>46030</v>
      </c>
      <c r="O10" s="32">
        <v>46031</v>
      </c>
      <c r="P10" s="32">
        <v>46032</v>
      </c>
      <c r="Q10" s="32">
        <v>46033</v>
      </c>
      <c r="R10" s="32">
        <v>46034</v>
      </c>
      <c r="S10" s="32">
        <v>46035</v>
      </c>
      <c r="T10" s="32">
        <v>46036</v>
      </c>
      <c r="U10" s="32">
        <v>46037</v>
      </c>
      <c r="V10" s="32">
        <v>46038</v>
      </c>
      <c r="W10" s="32">
        <v>46039</v>
      </c>
      <c r="X10" s="32">
        <v>46040</v>
      </c>
      <c r="Y10" s="32">
        <v>46041</v>
      </c>
      <c r="Z10" s="32">
        <v>46042</v>
      </c>
      <c r="AA10" s="32">
        <v>46043</v>
      </c>
      <c r="AB10" s="32">
        <v>46044</v>
      </c>
      <c r="AC10" s="32">
        <v>46045</v>
      </c>
      <c r="AD10" s="32">
        <v>46046</v>
      </c>
      <c r="AE10" s="32">
        <v>46047</v>
      </c>
      <c r="AF10" s="32">
        <v>46048</v>
      </c>
      <c r="AG10" s="32">
        <v>46049</v>
      </c>
      <c r="AH10" s="32">
        <v>46050</v>
      </c>
      <c r="AI10" s="32">
        <v>46051</v>
      </c>
      <c r="AJ10" s="32">
        <v>46052</v>
      </c>
      <c r="AK10" s="32">
        <v>46053</v>
      </c>
      <c r="AL10" s="13" t="s">
        <v>56</v>
      </c>
      <c r="AM10" s="4" t="s">
        <v>18</v>
      </c>
      <c r="AN10" s="4" t="s">
        <v>19</v>
      </c>
      <c r="AO10" s="4" t="s">
        <v>20</v>
      </c>
      <c r="AP10" s="15"/>
      <c r="AQ10" s="16"/>
    </row>
    <row r="11" spans="1:43" customFormat="1" ht="15" x14ac:dyDescent="0.25">
      <c r="A11" s="30" t="s">
        <v>54</v>
      </c>
      <c r="C11" s="20" t="s">
        <v>53</v>
      </c>
      <c r="D11" s="11"/>
      <c r="E11" s="3"/>
      <c r="F11" s="1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35">
        <f>SUM(G11:AK11)+F11</f>
        <v>0</v>
      </c>
    </row>
    <row r="12" spans="1:43" customFormat="1" ht="15" x14ac:dyDescent="0.25">
      <c r="A12" s="30" t="s">
        <v>54</v>
      </c>
      <c r="B12" s="20" t="s">
        <v>31</v>
      </c>
      <c r="C12" s="20" t="s">
        <v>32</v>
      </c>
      <c r="D12" s="11"/>
      <c r="E12" s="3"/>
      <c r="F12" s="13">
        <v>518</v>
      </c>
      <c r="G12" s="28"/>
      <c r="H12" s="28">
        <v>-54</v>
      </c>
      <c r="I12" s="28">
        <v>-1</v>
      </c>
      <c r="J12" s="28"/>
      <c r="K12" s="28"/>
      <c r="L12" s="28">
        <v>-52</v>
      </c>
      <c r="M12" s="28"/>
      <c r="N12" s="28">
        <v>-25</v>
      </c>
      <c r="O12" s="28">
        <v>-1</v>
      </c>
      <c r="P12" s="28"/>
      <c r="Q12" s="28"/>
      <c r="R12" s="28"/>
      <c r="S12" s="28"/>
      <c r="T12" s="28"/>
      <c r="U12" s="28"/>
      <c r="V12" s="28">
        <f>-13+-25</f>
        <v>-38</v>
      </c>
      <c r="W12" s="28">
        <f>-1+-1+-1</f>
        <v>-3</v>
      </c>
      <c r="X12" s="28"/>
      <c r="Y12" s="28"/>
      <c r="Z12" s="28"/>
      <c r="AA12" s="28">
        <v>-5</v>
      </c>
      <c r="AB12" s="28">
        <v>-1</v>
      </c>
      <c r="AC12" s="28">
        <v>-25</v>
      </c>
      <c r="AD12" s="28"/>
      <c r="AE12" s="28"/>
      <c r="AF12" s="28"/>
      <c r="AG12" s="28">
        <v>-5</v>
      </c>
      <c r="AH12" s="28"/>
      <c r="AI12" s="28"/>
      <c r="AJ12" s="28"/>
      <c r="AK12" s="28"/>
      <c r="AL12" s="35">
        <f t="shared" ref="AL12:AL21" si="0">SUM(G12:AK12)+F12</f>
        <v>308</v>
      </c>
    </row>
    <row r="13" spans="1:43" customFormat="1" ht="15" x14ac:dyDescent="0.25">
      <c r="A13" s="30" t="s">
        <v>54</v>
      </c>
      <c r="B13" s="20" t="s">
        <v>33</v>
      </c>
      <c r="C13" s="20" t="s">
        <v>34</v>
      </c>
      <c r="D13" s="11"/>
      <c r="E13" s="3"/>
      <c r="F13" s="13">
        <v>762</v>
      </c>
      <c r="G13" s="28"/>
      <c r="H13" s="28">
        <v>-12</v>
      </c>
      <c r="I13" s="28"/>
      <c r="J13" s="28"/>
      <c r="K13" s="28"/>
      <c r="L13" s="28">
        <v>-69</v>
      </c>
      <c r="M13" s="28"/>
      <c r="N13" s="28">
        <v>-37</v>
      </c>
      <c r="O13" s="28"/>
      <c r="P13" s="28"/>
      <c r="Q13" s="28"/>
      <c r="R13" s="28">
        <v>-15</v>
      </c>
      <c r="S13" s="28">
        <f>-12+-12</f>
        <v>-24</v>
      </c>
      <c r="T13" s="28"/>
      <c r="U13" s="28"/>
      <c r="V13" s="28">
        <v>-14</v>
      </c>
      <c r="W13" s="28"/>
      <c r="X13" s="28"/>
      <c r="Y13" s="28"/>
      <c r="Z13" s="28"/>
      <c r="AA13" s="28"/>
      <c r="AB13" s="28">
        <f>-13+-12</f>
        <v>-25</v>
      </c>
      <c r="AC13" s="28">
        <f>-20+-20</f>
        <v>-40</v>
      </c>
      <c r="AD13" s="28"/>
      <c r="AE13" s="28"/>
      <c r="AF13" s="28"/>
      <c r="AG13" s="28">
        <v>-15</v>
      </c>
      <c r="AH13" s="28">
        <v>-121</v>
      </c>
      <c r="AI13" s="33"/>
      <c r="AJ13" s="28">
        <f>-7+-7</f>
        <v>-14</v>
      </c>
      <c r="AK13" s="31">
        <f>200+300</f>
        <v>500</v>
      </c>
      <c r="AL13" s="35">
        <f>SUM(G13:AK13)+F13</f>
        <v>876</v>
      </c>
    </row>
    <row r="14" spans="1:43" customFormat="1" ht="15" x14ac:dyDescent="0.25">
      <c r="A14" s="30" t="s">
        <v>54</v>
      </c>
      <c r="B14" s="20" t="s">
        <v>35</v>
      </c>
      <c r="C14" s="20" t="s">
        <v>36</v>
      </c>
      <c r="D14" s="11"/>
      <c r="E14" s="3"/>
      <c r="F14" s="13">
        <v>20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35">
        <f t="shared" si="0"/>
        <v>20</v>
      </c>
    </row>
    <row r="15" spans="1:43" customFormat="1" ht="15" x14ac:dyDescent="0.25">
      <c r="A15" s="30" t="s">
        <v>54</v>
      </c>
      <c r="B15" s="20" t="s">
        <v>37</v>
      </c>
      <c r="C15" s="20" t="s">
        <v>38</v>
      </c>
      <c r="D15" s="11"/>
      <c r="E15" s="3"/>
      <c r="F15" s="13">
        <v>169</v>
      </c>
      <c r="G15" s="28"/>
      <c r="H15" s="28">
        <v>-54</v>
      </c>
      <c r="I15" s="28">
        <v>-1</v>
      </c>
      <c r="J15" s="28"/>
      <c r="K15" s="28"/>
      <c r="L15" s="28">
        <v>-52</v>
      </c>
      <c r="M15" s="28"/>
      <c r="N15" s="28">
        <v>-25</v>
      </c>
      <c r="O15" s="28">
        <f>-1+-1</f>
        <v>-2</v>
      </c>
      <c r="P15" s="28"/>
      <c r="Q15" s="28"/>
      <c r="R15" s="28"/>
      <c r="S15" s="28"/>
      <c r="T15" s="28"/>
      <c r="U15" s="31">
        <v>100</v>
      </c>
      <c r="V15" s="28">
        <f>-13+-25</f>
        <v>-38</v>
      </c>
      <c r="W15" s="28">
        <f>-1+-1+-1</f>
        <v>-3</v>
      </c>
      <c r="X15" s="28"/>
      <c r="Y15" s="28"/>
      <c r="Z15" s="28"/>
      <c r="AA15" s="28">
        <v>-5</v>
      </c>
      <c r="AB15" s="28">
        <v>-1</v>
      </c>
      <c r="AC15" s="28">
        <v>-25</v>
      </c>
      <c r="AD15" s="28"/>
      <c r="AE15" s="28"/>
      <c r="AF15" s="28"/>
      <c r="AG15" s="28"/>
      <c r="AH15" s="28"/>
      <c r="AI15" s="28"/>
      <c r="AJ15" s="28"/>
      <c r="AK15" s="28"/>
      <c r="AL15" s="35">
        <f t="shared" si="0"/>
        <v>63</v>
      </c>
    </row>
    <row r="16" spans="1:43" customFormat="1" ht="15" x14ac:dyDescent="0.25">
      <c r="A16" s="30" t="s">
        <v>54</v>
      </c>
      <c r="B16" s="20" t="s">
        <v>39</v>
      </c>
      <c r="C16" s="20" t="s">
        <v>40</v>
      </c>
      <c r="D16" s="11"/>
      <c r="E16" s="3"/>
      <c r="F16" s="13">
        <v>433</v>
      </c>
      <c r="G16" s="28"/>
      <c r="H16" s="28">
        <v>-12</v>
      </c>
      <c r="I16" s="28"/>
      <c r="J16" s="28"/>
      <c r="K16" s="28"/>
      <c r="L16" s="28">
        <v>-69</v>
      </c>
      <c r="M16" s="28"/>
      <c r="N16" s="28">
        <v>-37</v>
      </c>
      <c r="O16" s="28"/>
      <c r="P16" s="28"/>
      <c r="Q16" s="28"/>
      <c r="R16" s="28"/>
      <c r="S16" s="28">
        <f>-12+-12</f>
        <v>-24</v>
      </c>
      <c r="T16" s="28"/>
      <c r="U16" s="28"/>
      <c r="V16" s="28">
        <v>-14</v>
      </c>
      <c r="W16" s="28"/>
      <c r="X16" s="28"/>
      <c r="Y16" s="28"/>
      <c r="Z16" s="28"/>
      <c r="AA16" s="28"/>
      <c r="AB16" s="28">
        <f>-13+-12</f>
        <v>-25</v>
      </c>
      <c r="AC16" s="28">
        <f>-20+-20</f>
        <v>-40</v>
      </c>
      <c r="AD16" s="28"/>
      <c r="AE16" s="28"/>
      <c r="AF16" s="28"/>
      <c r="AG16" s="28"/>
      <c r="AH16" s="28">
        <v>-121</v>
      </c>
      <c r="AI16" s="28"/>
      <c r="AJ16" s="28">
        <f>-7+-7</f>
        <v>-14</v>
      </c>
      <c r="AK16" s="31">
        <v>400</v>
      </c>
      <c r="AL16" s="35">
        <f t="shared" si="0"/>
        <v>477</v>
      </c>
    </row>
    <row r="17" spans="1:38" customFormat="1" ht="15" x14ac:dyDescent="0.25">
      <c r="A17" s="30" t="s">
        <v>54</v>
      </c>
      <c r="B17" s="20" t="s">
        <v>41</v>
      </c>
      <c r="C17" s="20" t="s">
        <v>42</v>
      </c>
      <c r="D17" s="11"/>
      <c r="E17" s="3"/>
      <c r="F17" s="13">
        <v>362</v>
      </c>
      <c r="G17" s="28"/>
      <c r="H17" s="28">
        <f>-12+-5</f>
        <v>-17</v>
      </c>
      <c r="I17" s="28"/>
      <c r="J17" s="28"/>
      <c r="K17" s="28"/>
      <c r="L17" s="28">
        <f>-69+-29</f>
        <v>-98</v>
      </c>
      <c r="M17" s="28"/>
      <c r="N17" s="28">
        <v>-37</v>
      </c>
      <c r="O17" s="28"/>
      <c r="P17" s="28"/>
      <c r="Q17" s="28"/>
      <c r="R17" s="28">
        <f>-129+-51+-6</f>
        <v>-186</v>
      </c>
      <c r="S17" s="28">
        <f>-12+-12</f>
        <v>-24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31">
        <v>200</v>
      </c>
      <c r="AH17" s="28">
        <f>-121+-25+-40</f>
        <v>-186</v>
      </c>
      <c r="AI17" s="28"/>
      <c r="AJ17" s="28">
        <f>-7+-7</f>
        <v>-14</v>
      </c>
      <c r="AK17" s="28"/>
      <c r="AL17" s="35">
        <f t="shared" si="0"/>
        <v>0</v>
      </c>
    </row>
    <row r="18" spans="1:38" customFormat="1" ht="14.25" customHeight="1" x14ac:dyDescent="0.25">
      <c r="A18" s="30" t="s">
        <v>54</v>
      </c>
      <c r="B18" s="20" t="s">
        <v>43</v>
      </c>
      <c r="C18" s="20" t="s">
        <v>44</v>
      </c>
      <c r="D18" s="11"/>
      <c r="E18" s="3"/>
      <c r="F18" s="13">
        <v>18</v>
      </c>
      <c r="G18" s="28"/>
      <c r="H18" s="28"/>
      <c r="I18" s="28">
        <v>-1</v>
      </c>
      <c r="J18" s="28"/>
      <c r="K18" s="28"/>
      <c r="L18" s="28"/>
      <c r="M18" s="28"/>
      <c r="N18" s="28"/>
      <c r="O18" s="28">
        <v>-1</v>
      </c>
      <c r="P18" s="28"/>
      <c r="Q18" s="28"/>
      <c r="R18" s="28"/>
      <c r="S18" s="28"/>
      <c r="T18" s="28"/>
      <c r="U18" s="28"/>
      <c r="V18" s="28">
        <v>-13</v>
      </c>
      <c r="W18" s="28">
        <f>-1+-1+-1</f>
        <v>-3</v>
      </c>
      <c r="X18" s="28"/>
      <c r="Y18" s="31">
        <v>34</v>
      </c>
      <c r="Z18" s="28"/>
      <c r="AA18" s="28">
        <v>-5</v>
      </c>
      <c r="AB18" s="28">
        <f>-1+-15</f>
        <v>-16</v>
      </c>
      <c r="AC18" s="28">
        <v>-13</v>
      </c>
      <c r="AD18" s="28"/>
      <c r="AE18" s="28"/>
      <c r="AF18" s="28"/>
      <c r="AG18" s="33"/>
      <c r="AH18" s="28"/>
      <c r="AI18" s="28"/>
      <c r="AJ18" s="28"/>
      <c r="AK18" s="28"/>
      <c r="AL18" s="35">
        <f t="shared" si="0"/>
        <v>0</v>
      </c>
    </row>
    <row r="19" spans="1:38" customFormat="1" ht="15" x14ac:dyDescent="0.25">
      <c r="A19" s="30" t="s">
        <v>54</v>
      </c>
      <c r="B19" s="20" t="s">
        <v>45</v>
      </c>
      <c r="C19" s="20" t="s">
        <v>46</v>
      </c>
      <c r="D19" s="11"/>
      <c r="E19" s="3"/>
      <c r="F19" s="13">
        <v>14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35">
        <f t="shared" si="0"/>
        <v>14</v>
      </c>
    </row>
    <row r="20" spans="1:38" customFormat="1" ht="15" x14ac:dyDescent="0.25">
      <c r="A20" s="30"/>
      <c r="B20" s="20" t="s">
        <v>47</v>
      </c>
      <c r="C20" s="20" t="s">
        <v>48</v>
      </c>
      <c r="D20" s="11"/>
      <c r="E20" s="3"/>
      <c r="F20" s="13"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12"/>
      <c r="AI20" s="28"/>
      <c r="AJ20" s="28"/>
      <c r="AK20" s="28"/>
      <c r="AL20" s="35">
        <f t="shared" si="0"/>
        <v>0</v>
      </c>
    </row>
    <row r="21" spans="1:38" customFormat="1" ht="15" x14ac:dyDescent="0.25">
      <c r="A21" s="30" t="s">
        <v>54</v>
      </c>
      <c r="B21" s="20" t="s">
        <v>49</v>
      </c>
      <c r="C21" s="20" t="s">
        <v>50</v>
      </c>
      <c r="D21" s="11"/>
      <c r="E21" s="3"/>
      <c r="F21" s="13">
        <v>25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12"/>
      <c r="AI21" s="28"/>
      <c r="AJ21" s="28"/>
      <c r="AK21" s="28"/>
      <c r="AL21" s="35">
        <f t="shared" si="0"/>
        <v>25</v>
      </c>
    </row>
    <row r="22" spans="1:38" customFormat="1" ht="15" x14ac:dyDescent="0.25">
      <c r="A22" s="30" t="s">
        <v>54</v>
      </c>
      <c r="B22" s="20" t="s">
        <v>51</v>
      </c>
      <c r="C22" s="20" t="s">
        <v>52</v>
      </c>
      <c r="D22" s="11"/>
      <c r="E22" s="11"/>
      <c r="F22" s="34"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35">
        <f t="shared" ref="AL22:AL23" si="1">F22+SUM(G22:AK22)</f>
        <v>0</v>
      </c>
    </row>
    <row r="23" spans="1:38" customFormat="1" ht="15" x14ac:dyDescent="0.25">
      <c r="A23" s="11"/>
      <c r="B23" s="11"/>
      <c r="C23" s="11"/>
      <c r="D23" s="11"/>
      <c r="E23" s="11"/>
      <c r="F23" s="11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35">
        <f t="shared" si="1"/>
        <v>0</v>
      </c>
    </row>
    <row r="24" spans="1:38" ht="12.75" customHeight="1" x14ac:dyDescent="0.2">
      <c r="A24" s="3"/>
      <c r="B24" s="27"/>
      <c r="C24" s="27"/>
      <c r="D24" s="2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6"/>
    </row>
    <row r="25" spans="1:38" x14ac:dyDescent="0.2">
      <c r="A25" s="3"/>
      <c r="B25" s="27"/>
      <c r="C25" s="27"/>
      <c r="D25" s="2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79.5" customHeight="1" thickBot="1" x14ac:dyDescent="0.25">
      <c r="B26" s="7" t="s">
        <v>21</v>
      </c>
      <c r="C26" s="19"/>
      <c r="D26" s="19"/>
      <c r="E26" s="9" t="s">
        <v>22</v>
      </c>
      <c r="F26" s="22" t="s">
        <v>23</v>
      </c>
      <c r="G26" s="25" t="s">
        <v>24</v>
      </c>
      <c r="H26" s="26"/>
    </row>
    <row r="27" spans="1:38" ht="16.5" thickBot="1" x14ac:dyDescent="0.25">
      <c r="B27" s="7" t="s">
        <v>25</v>
      </c>
      <c r="C27" s="19"/>
      <c r="D27" s="19"/>
      <c r="E27" s="8"/>
      <c r="F27" s="21"/>
      <c r="G27" s="38"/>
      <c r="H27" s="39"/>
    </row>
    <row r="28" spans="1:38" ht="16.5" thickBot="1" x14ac:dyDescent="0.25">
      <c r="B28" s="7" t="s">
        <v>26</v>
      </c>
      <c r="C28" s="19"/>
      <c r="D28" s="19"/>
      <c r="E28" s="9"/>
      <c r="F28" s="22"/>
      <c r="G28" s="40"/>
      <c r="H28" s="41"/>
    </row>
    <row r="29" spans="1:38" ht="16.5" thickBot="1" x14ac:dyDescent="0.25">
      <c r="B29" s="7" t="s">
        <v>27</v>
      </c>
      <c r="C29" s="19"/>
      <c r="D29" s="19"/>
      <c r="E29" s="10"/>
      <c r="F29" s="23"/>
      <c r="G29" s="42"/>
      <c r="H29" s="43"/>
    </row>
    <row r="30" spans="1:38" ht="15.75" x14ac:dyDescent="0.2">
      <c r="B30" s="44" t="s">
        <v>28</v>
      </c>
      <c r="C30" s="17"/>
      <c r="D30" s="17"/>
      <c r="E30" s="47"/>
      <c r="F30" s="50"/>
      <c r="G30" s="53"/>
      <c r="H30" s="54"/>
    </row>
    <row r="31" spans="1:38" ht="15.75" x14ac:dyDescent="0.2">
      <c r="B31" s="45"/>
      <c r="C31" s="18"/>
      <c r="D31" s="18"/>
      <c r="E31" s="48"/>
      <c r="F31" s="51"/>
      <c r="G31" s="53"/>
      <c r="H31" s="54"/>
    </row>
    <row r="32" spans="1:38" ht="16.5" thickBot="1" x14ac:dyDescent="0.25">
      <c r="B32" s="46"/>
      <c r="C32" s="7"/>
      <c r="D32" s="7"/>
      <c r="E32" s="49"/>
      <c r="F32" s="52"/>
      <c r="G32" s="55"/>
      <c r="H32" s="56"/>
    </row>
  </sheetData>
  <mergeCells count="24">
    <mergeCell ref="G30:H32"/>
    <mergeCell ref="G27:H27"/>
    <mergeCell ref="G28:H28"/>
    <mergeCell ref="G29:H29"/>
    <mergeCell ref="B30:B32"/>
    <mergeCell ref="E30:E32"/>
    <mergeCell ref="F30:F32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</mergeCells>
  <conditionalFormatting sqref="AL11:AL23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2"/>
  <dimension ref="A1:AM47"/>
  <sheetViews>
    <sheetView workbookViewId="0">
      <pane xSplit="3" ySplit="10" topLeftCell="AA11" activePane="bottomRight" state="frozen"/>
      <selection pane="topRight" activeCell="D1" sqref="D1"/>
      <selection pane="bottomLeft" activeCell="A11" sqref="A11"/>
      <selection pane="bottomRight" activeCell="AH18" sqref="AH18"/>
    </sheetView>
  </sheetViews>
  <sheetFormatPr defaultRowHeight="15" x14ac:dyDescent="0.25"/>
  <cols>
    <col min="2" max="2" width="12.140625" bestFit="1" customWidth="1"/>
    <col min="3" max="3" width="54.28515625" bestFit="1" customWidth="1"/>
    <col min="7" max="33" width="10.140625" bestFit="1" customWidth="1"/>
    <col min="34" max="34" width="10.5703125" customWidth="1"/>
  </cols>
  <sheetData>
    <row r="1" spans="1:39" ht="22.5" customHeight="1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39" ht="15" customHeight="1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39" ht="15.75" customHeight="1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39" ht="15" customHeight="1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39" ht="15.75" customHeight="1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1">
        <v>0</v>
      </c>
      <c r="N5" s="71" t="s">
        <v>5</v>
      </c>
      <c r="O5" s="71"/>
      <c r="P5" s="72"/>
      <c r="Q5" s="73"/>
    </row>
    <row r="6" spans="1:39" ht="15.75" customHeight="1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39" ht="15.75" customHeight="1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9" spans="1:39" x14ac:dyDescent="0.25">
      <c r="A9" t="s">
        <v>12</v>
      </c>
    </row>
    <row r="10" spans="1:39" ht="26.25" x14ac:dyDescent="0.25">
      <c r="A10" s="24" t="s">
        <v>13</v>
      </c>
      <c r="B10" s="5" t="s">
        <v>14</v>
      </c>
      <c r="C10" s="5" t="s">
        <v>15</v>
      </c>
      <c r="D10" s="5" t="s">
        <v>16</v>
      </c>
      <c r="E10" s="6" t="s">
        <v>17</v>
      </c>
      <c r="F10" s="13" t="s">
        <v>55</v>
      </c>
      <c r="G10" s="14">
        <v>46054</v>
      </c>
      <c r="H10" s="14">
        <v>46055</v>
      </c>
      <c r="I10" s="14">
        <v>46056</v>
      </c>
      <c r="J10" s="14">
        <v>46057</v>
      </c>
      <c r="K10" s="14">
        <v>46058</v>
      </c>
      <c r="L10" s="14">
        <v>46059</v>
      </c>
      <c r="M10" s="14">
        <v>46060</v>
      </c>
      <c r="N10" s="14">
        <v>46061</v>
      </c>
      <c r="O10" s="14">
        <v>46062</v>
      </c>
      <c r="P10" s="14">
        <v>46063</v>
      </c>
      <c r="Q10" s="14">
        <v>46064</v>
      </c>
      <c r="R10" s="14">
        <v>46065</v>
      </c>
      <c r="S10" s="14">
        <v>46066</v>
      </c>
      <c r="T10" s="14">
        <v>46067</v>
      </c>
      <c r="U10" s="14">
        <v>46068</v>
      </c>
      <c r="V10" s="14">
        <v>46069</v>
      </c>
      <c r="W10" s="14">
        <v>46070</v>
      </c>
      <c r="X10" s="14">
        <v>46071</v>
      </c>
      <c r="Y10" s="14">
        <v>46072</v>
      </c>
      <c r="Z10" s="14">
        <v>46073</v>
      </c>
      <c r="AA10" s="14">
        <v>46074</v>
      </c>
      <c r="AB10" s="14">
        <v>46075</v>
      </c>
      <c r="AC10" s="14">
        <v>46076</v>
      </c>
      <c r="AD10" s="14">
        <v>46077</v>
      </c>
      <c r="AE10" s="14">
        <v>46078</v>
      </c>
      <c r="AF10" s="14">
        <v>46079</v>
      </c>
      <c r="AG10" s="14">
        <v>46080</v>
      </c>
      <c r="AH10" s="14">
        <v>46081</v>
      </c>
      <c r="AI10" s="13" t="s">
        <v>56</v>
      </c>
      <c r="AJ10" s="4" t="s">
        <v>18</v>
      </c>
      <c r="AK10" s="4" t="s">
        <v>19</v>
      </c>
      <c r="AL10" s="4" t="s">
        <v>20</v>
      </c>
      <c r="AM10" s="15"/>
    </row>
    <row r="11" spans="1:39" x14ac:dyDescent="0.25">
      <c r="A11" s="30" t="s">
        <v>54</v>
      </c>
      <c r="C11" s="29" t="s">
        <v>53</v>
      </c>
      <c r="D11" s="11"/>
      <c r="E11" s="3"/>
      <c r="F11" s="13">
        <f>'Jan 2026'!AL11</f>
        <v>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35">
        <f t="shared" ref="AI11:AI21" si="0">SUM(G11:AH11)+F11</f>
        <v>0</v>
      </c>
    </row>
    <row r="12" spans="1:39" x14ac:dyDescent="0.25">
      <c r="A12" s="30" t="s">
        <v>54</v>
      </c>
      <c r="B12" s="20" t="s">
        <v>31</v>
      </c>
      <c r="C12" s="20" t="s">
        <v>32</v>
      </c>
      <c r="D12" s="11"/>
      <c r="E12" s="3"/>
      <c r="F12" s="13">
        <f>'Jan 2026'!AL12</f>
        <v>308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>
        <v>-20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35">
        <f t="shared" si="0"/>
        <v>288</v>
      </c>
    </row>
    <row r="13" spans="1:39" x14ac:dyDescent="0.25">
      <c r="A13" s="30" t="s">
        <v>54</v>
      </c>
      <c r="B13" s="20" t="s">
        <v>33</v>
      </c>
      <c r="C13" s="20" t="s">
        <v>34</v>
      </c>
      <c r="D13" s="11"/>
      <c r="E13" s="3"/>
      <c r="F13" s="13">
        <f>'Jan 2026'!AL13</f>
        <v>876</v>
      </c>
      <c r="G13" s="28"/>
      <c r="H13" s="28">
        <f>-6</f>
        <v>-6</v>
      </c>
      <c r="I13" s="28">
        <v>-396</v>
      </c>
      <c r="J13" s="28">
        <f>-8+-8+-9</f>
        <v>-25</v>
      </c>
      <c r="K13" s="28">
        <f>-9+-6+-25</f>
        <v>-40</v>
      </c>
      <c r="L13" s="28">
        <v>-10</v>
      </c>
      <c r="M13" s="28"/>
      <c r="N13" s="28"/>
      <c r="O13" s="28"/>
      <c r="P13" s="28"/>
      <c r="Q13" s="28"/>
      <c r="R13" s="28"/>
      <c r="S13" s="28">
        <f>-15+-15</f>
        <v>-30</v>
      </c>
      <c r="T13" s="28"/>
      <c r="U13" s="28"/>
      <c r="V13" s="28"/>
      <c r="W13" s="28"/>
      <c r="X13" s="28"/>
      <c r="Y13" s="28"/>
      <c r="Z13" s="28">
        <f>-22+-12+-12</f>
        <v>-46</v>
      </c>
      <c r="AA13" s="28"/>
      <c r="AB13" s="28"/>
      <c r="AC13" s="28"/>
      <c r="AD13" s="28">
        <f>-22+-22</f>
        <v>-44</v>
      </c>
      <c r="AE13" s="28"/>
      <c r="AF13" s="28"/>
      <c r="AG13" s="28"/>
      <c r="AH13" s="28"/>
      <c r="AI13" s="35">
        <f t="shared" si="0"/>
        <v>279</v>
      </c>
    </row>
    <row r="14" spans="1:39" x14ac:dyDescent="0.25">
      <c r="A14" s="30" t="s">
        <v>54</v>
      </c>
      <c r="B14" s="20" t="s">
        <v>35</v>
      </c>
      <c r="C14" s="20" t="s">
        <v>36</v>
      </c>
      <c r="D14" s="11"/>
      <c r="E14" s="3"/>
      <c r="F14" s="13">
        <f>'Jan 2026'!AL14</f>
        <v>20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35">
        <f t="shared" si="0"/>
        <v>20</v>
      </c>
    </row>
    <row r="15" spans="1:39" x14ac:dyDescent="0.25">
      <c r="A15" s="30" t="s">
        <v>54</v>
      </c>
      <c r="B15" s="20" t="s">
        <v>37</v>
      </c>
      <c r="C15" s="20" t="s">
        <v>38</v>
      </c>
      <c r="D15" s="11"/>
      <c r="E15" s="3"/>
      <c r="F15" s="13">
        <f>'Jan 2026'!AL15</f>
        <v>63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35">
        <f t="shared" si="0"/>
        <v>63</v>
      </c>
    </row>
    <row r="16" spans="1:39" x14ac:dyDescent="0.25">
      <c r="A16" s="30" t="s">
        <v>54</v>
      </c>
      <c r="B16" s="20" t="s">
        <v>39</v>
      </c>
      <c r="C16" s="20" t="s">
        <v>40</v>
      </c>
      <c r="D16" s="11"/>
      <c r="E16" s="3"/>
      <c r="F16" s="13">
        <f>'Jan 2026'!AL16</f>
        <v>477</v>
      </c>
      <c r="G16" s="28"/>
      <c r="H16" s="28">
        <f>-6</f>
        <v>-6</v>
      </c>
      <c r="I16" s="28">
        <v>-396</v>
      </c>
      <c r="J16" s="28">
        <f t="shared" ref="J16" si="1">-8+-8+-9</f>
        <v>-25</v>
      </c>
      <c r="K16" s="28">
        <f>-9+-6+-25</f>
        <v>-40</v>
      </c>
      <c r="L16" s="28">
        <v>-10</v>
      </c>
      <c r="M16" s="28"/>
      <c r="N16" s="28"/>
      <c r="O16" s="28"/>
      <c r="P16" s="28"/>
      <c r="Q16" s="28"/>
      <c r="R16" s="28"/>
      <c r="S16" s="28">
        <f>-15+-15</f>
        <v>-30</v>
      </c>
      <c r="T16" s="28"/>
      <c r="U16" s="28"/>
      <c r="V16" s="28"/>
      <c r="W16" s="28"/>
      <c r="X16" s="28"/>
      <c r="Y16" s="28"/>
      <c r="Z16" s="28">
        <f>-22+-12+-12</f>
        <v>-46</v>
      </c>
      <c r="AA16" s="31">
        <v>300</v>
      </c>
      <c r="AB16" s="28"/>
      <c r="AC16" s="28"/>
      <c r="AD16" s="28">
        <f>-22+-22</f>
        <v>-44</v>
      </c>
      <c r="AE16" s="28"/>
      <c r="AF16" s="28"/>
      <c r="AG16" s="28"/>
      <c r="AH16" s="28"/>
      <c r="AI16" s="35">
        <f t="shared" si="0"/>
        <v>180</v>
      </c>
    </row>
    <row r="17" spans="1:39" x14ac:dyDescent="0.25">
      <c r="A17" s="30" t="s">
        <v>54</v>
      </c>
      <c r="B17" s="20" t="s">
        <v>41</v>
      </c>
      <c r="C17" s="20" t="s">
        <v>42</v>
      </c>
      <c r="D17" s="11"/>
      <c r="E17" s="3"/>
      <c r="F17" s="13">
        <f>'Jan 2026'!AL17</f>
        <v>0</v>
      </c>
      <c r="G17" s="28"/>
      <c r="H17" s="28"/>
      <c r="I17" s="31">
        <v>200</v>
      </c>
      <c r="J17" s="28">
        <f>-8+-8+-9+-21+-10+-10+-6</f>
        <v>-72</v>
      </c>
      <c r="K17" s="28">
        <f>-9+-6+-25+-2</f>
        <v>-42</v>
      </c>
      <c r="L17" s="28">
        <v>-10</v>
      </c>
      <c r="M17" s="28"/>
      <c r="N17" s="28"/>
      <c r="O17" s="28">
        <v>-2</v>
      </c>
      <c r="P17" s="28">
        <v>-2</v>
      </c>
      <c r="Q17" s="28"/>
      <c r="R17" s="28">
        <f>-10+-1</f>
        <v>-11</v>
      </c>
      <c r="S17" s="28">
        <f>-15+-15+-31</f>
        <v>-61</v>
      </c>
      <c r="T17" s="28"/>
      <c r="U17" s="28"/>
      <c r="V17" s="28"/>
      <c r="W17" s="28"/>
      <c r="X17" s="31">
        <v>200</v>
      </c>
      <c r="Y17" s="28">
        <v>-21</v>
      </c>
      <c r="Z17" s="28">
        <f>-4+-22+-18+-12+-12+-12</f>
        <v>-80</v>
      </c>
      <c r="AA17" s="28"/>
      <c r="AB17" s="28"/>
      <c r="AC17" s="28">
        <v>-36</v>
      </c>
      <c r="AD17" s="28">
        <f>-22+-22+-19</f>
        <v>-63</v>
      </c>
      <c r="AE17" s="28"/>
      <c r="AF17" s="31">
        <v>200</v>
      </c>
      <c r="AG17" s="28">
        <v>-87</v>
      </c>
      <c r="AH17" s="28">
        <f>-3+-8</f>
        <v>-11</v>
      </c>
      <c r="AI17" s="35">
        <f t="shared" si="0"/>
        <v>102</v>
      </c>
    </row>
    <row r="18" spans="1:39" x14ac:dyDescent="0.25">
      <c r="A18" s="30" t="s">
        <v>54</v>
      </c>
      <c r="B18" s="20" t="s">
        <v>43</v>
      </c>
      <c r="C18" s="20" t="s">
        <v>44</v>
      </c>
      <c r="D18" s="11"/>
      <c r="E18" s="3"/>
      <c r="F18" s="13">
        <f>'Jan 2026'!AL18</f>
        <v>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31">
        <v>6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>
        <v>-1</v>
      </c>
      <c r="AE18" s="28"/>
      <c r="AF18" s="28"/>
      <c r="AG18" s="28"/>
      <c r="AH18" s="28"/>
      <c r="AI18" s="35">
        <f t="shared" si="0"/>
        <v>5</v>
      </c>
    </row>
    <row r="19" spans="1:39" x14ac:dyDescent="0.25">
      <c r="A19" s="30" t="s">
        <v>54</v>
      </c>
      <c r="B19" s="20" t="s">
        <v>45</v>
      </c>
      <c r="C19" s="20" t="s">
        <v>46</v>
      </c>
      <c r="D19" s="11"/>
      <c r="E19" s="3"/>
      <c r="F19" s="13">
        <f>'Jan 2026'!AL19</f>
        <v>14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35">
        <f t="shared" si="0"/>
        <v>14</v>
      </c>
    </row>
    <row r="20" spans="1:39" x14ac:dyDescent="0.25">
      <c r="A20" s="30"/>
      <c r="B20" s="20" t="s">
        <v>47</v>
      </c>
      <c r="C20" s="20" t="s">
        <v>48</v>
      </c>
      <c r="D20" s="11"/>
      <c r="E20" s="3"/>
      <c r="F20" s="13">
        <f>'Jan 2026'!AL20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12"/>
      <c r="AI20" s="35">
        <f t="shared" si="0"/>
        <v>0</v>
      </c>
    </row>
    <row r="21" spans="1:39" x14ac:dyDescent="0.25">
      <c r="A21" s="30" t="s">
        <v>54</v>
      </c>
      <c r="B21" s="20" t="s">
        <v>49</v>
      </c>
      <c r="C21" s="20" t="s">
        <v>50</v>
      </c>
      <c r="D21" s="11"/>
      <c r="E21" s="3"/>
      <c r="F21" s="13">
        <f>'Jan 2026'!AL21</f>
        <v>25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12"/>
      <c r="AI21" s="35">
        <f t="shared" si="0"/>
        <v>25</v>
      </c>
    </row>
    <row r="22" spans="1:39" x14ac:dyDescent="0.25">
      <c r="A22" s="30" t="s">
        <v>54</v>
      </c>
      <c r="B22" s="20" t="s">
        <v>51</v>
      </c>
      <c r="C22" s="20" t="s">
        <v>52</v>
      </c>
      <c r="D22" s="11"/>
      <c r="E22" s="11"/>
      <c r="F22" s="13">
        <f>'Jan 2026'!AL22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35">
        <f>F22+SUM(G22:AH22)</f>
        <v>0</v>
      </c>
    </row>
    <row r="23" spans="1:39" x14ac:dyDescent="0.25">
      <c r="A23" s="11"/>
      <c r="B23" s="11"/>
      <c r="C23" s="11"/>
      <c r="D23" s="11"/>
      <c r="E23" s="11"/>
      <c r="F23" s="11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35">
        <f>F23+SUM(G23:AH23)</f>
        <v>0</v>
      </c>
    </row>
    <row r="24" spans="1:39" x14ac:dyDescent="0.25">
      <c r="A24" s="3"/>
      <c r="B24" s="27"/>
      <c r="C24" s="27"/>
      <c r="D24" s="27"/>
      <c r="E24" s="3"/>
      <c r="F24" s="3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1"/>
      <c r="AJ24" s="1"/>
      <c r="AK24" s="1"/>
      <c r="AL24" s="1"/>
      <c r="AM24" s="1"/>
    </row>
    <row r="25" spans="1:39" x14ac:dyDescent="0.25">
      <c r="A25" s="3"/>
      <c r="B25" s="27"/>
      <c r="C25" s="27"/>
      <c r="D25" s="2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1"/>
      <c r="AJ25" s="1"/>
      <c r="AK25" s="1"/>
      <c r="AL25" s="1"/>
      <c r="AM25" s="1"/>
    </row>
    <row r="26" spans="1:39" ht="32.25" thickBot="1" x14ac:dyDescent="0.3">
      <c r="A26" s="1"/>
      <c r="B26" s="7" t="s">
        <v>21</v>
      </c>
      <c r="C26" s="19"/>
      <c r="D26" s="19"/>
      <c r="E26" s="9" t="s">
        <v>22</v>
      </c>
      <c r="F26" s="22" t="s">
        <v>23</v>
      </c>
      <c r="G26" s="25" t="s">
        <v>24</v>
      </c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6.5" thickBot="1" x14ac:dyDescent="0.3">
      <c r="A27" s="1"/>
      <c r="B27" s="7" t="s">
        <v>25</v>
      </c>
      <c r="C27" s="19"/>
      <c r="D27" s="19"/>
      <c r="E27" s="8"/>
      <c r="F27" s="21"/>
      <c r="G27" s="38"/>
      <c r="H27" s="3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32.25" thickBot="1" x14ac:dyDescent="0.3">
      <c r="A28" s="1"/>
      <c r="B28" s="7" t="s">
        <v>26</v>
      </c>
      <c r="C28" s="19"/>
      <c r="D28" s="19"/>
      <c r="E28" s="9"/>
      <c r="F28" s="22"/>
      <c r="G28" s="40"/>
      <c r="H28" s="4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6.5" thickBot="1" x14ac:dyDescent="0.3">
      <c r="A29" s="1"/>
      <c r="B29" s="7" t="s">
        <v>27</v>
      </c>
      <c r="C29" s="19"/>
      <c r="D29" s="19"/>
      <c r="E29" s="10"/>
      <c r="F29" s="23"/>
      <c r="G29" s="42"/>
      <c r="H29" s="4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5.75" x14ac:dyDescent="0.25">
      <c r="A30" s="1"/>
      <c r="B30" s="44" t="s">
        <v>28</v>
      </c>
      <c r="C30" s="17"/>
      <c r="D30" s="17"/>
      <c r="E30" s="47"/>
      <c r="F30" s="50"/>
      <c r="G30" s="53"/>
      <c r="H30" s="5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5.75" x14ac:dyDescent="0.25">
      <c r="A31" s="1"/>
      <c r="B31" s="45"/>
      <c r="C31" s="18"/>
      <c r="D31" s="18"/>
      <c r="E31" s="48"/>
      <c r="F31" s="51"/>
      <c r="G31" s="53"/>
      <c r="H31" s="5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6.5" thickBot="1" x14ac:dyDescent="0.3">
      <c r="A32" s="1"/>
      <c r="B32" s="46"/>
      <c r="C32" s="7"/>
      <c r="D32" s="7"/>
      <c r="E32" s="49"/>
      <c r="F32" s="52"/>
      <c r="G32" s="55"/>
      <c r="H32" s="5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25">
      <c r="A33" s="1"/>
      <c r="B33" s="2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25">
      <c r="A34" s="1"/>
      <c r="B34" s="2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9" x14ac:dyDescent="0.25">
      <c r="A35" s="1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9" x14ac:dyDescent="0.25">
      <c r="A36" s="1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9" x14ac:dyDescent="0.25">
      <c r="A37" s="1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9" x14ac:dyDescent="0.25">
      <c r="A38" s="1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9" x14ac:dyDescent="0.25">
      <c r="A39" s="1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9" x14ac:dyDescent="0.25">
      <c r="A40" s="1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9" x14ac:dyDescent="0.25">
      <c r="A41" s="1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9" x14ac:dyDescent="0.25">
      <c r="A42" s="1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9" x14ac:dyDescent="0.25">
      <c r="A43" s="1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9" x14ac:dyDescent="0.25">
      <c r="A44" s="1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9" x14ac:dyDescent="0.25">
      <c r="A45" s="1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9" x14ac:dyDescent="0.25">
      <c r="A46" s="1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9" x14ac:dyDescent="0.25">
      <c r="A47" s="1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</sheetData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27:H27"/>
    <mergeCell ref="G28:H28"/>
    <mergeCell ref="G29:H29"/>
    <mergeCell ref="B30:B32"/>
    <mergeCell ref="E30:E32"/>
    <mergeCell ref="F30:F32"/>
    <mergeCell ref="G30:H32"/>
  </mergeCells>
  <conditionalFormatting sqref="AI11:AI23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3044-AF98-4F1F-9A84-6335EA547ED9}">
  <dimension ref="A1:AQ32"/>
  <sheetViews>
    <sheetView workbookViewId="0">
      <pane xSplit="3" ySplit="10" topLeftCell="V11" activePane="bottomRight" state="frozen"/>
      <selection pane="topRight" activeCell="D1" sqref="D1"/>
      <selection pane="bottomLeft" activeCell="A11" sqref="A11"/>
      <selection pane="bottomRight" activeCell="A17" sqref="A17:XFD17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9.7109375" style="2" customWidth="1"/>
    <col min="5" max="37" width="9.7109375" style="1" customWidth="1"/>
    <col min="38" max="16384" width="16.85546875" style="1"/>
  </cols>
  <sheetData>
    <row r="1" spans="1:43" customFormat="1" ht="23.45" customHeight="1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43" customFormat="1" ht="15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43" customFormat="1" ht="15.75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43" customFormat="1" ht="15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43" customFormat="1" ht="15.75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1">
        <v>0</v>
      </c>
      <c r="N5" s="71" t="s">
        <v>5</v>
      </c>
      <c r="O5" s="71"/>
      <c r="P5" s="72"/>
      <c r="Q5" s="73"/>
    </row>
    <row r="6" spans="1:43" customFormat="1" ht="15.75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43" customFormat="1" ht="15.75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5" t="s">
        <v>14</v>
      </c>
      <c r="C10" s="5" t="s">
        <v>15</v>
      </c>
      <c r="D10" s="5" t="s">
        <v>16</v>
      </c>
      <c r="E10" s="6" t="s">
        <v>17</v>
      </c>
      <c r="F10" s="13" t="s">
        <v>55</v>
      </c>
      <c r="G10" s="32">
        <v>46082</v>
      </c>
      <c r="H10" s="32">
        <v>46083</v>
      </c>
      <c r="I10" s="32">
        <v>46084</v>
      </c>
      <c r="J10" s="32">
        <v>46085</v>
      </c>
      <c r="K10" s="32">
        <v>46086</v>
      </c>
      <c r="L10" s="32">
        <v>46087</v>
      </c>
      <c r="M10" s="32">
        <v>46088</v>
      </c>
      <c r="N10" s="32">
        <v>46089</v>
      </c>
      <c r="O10" s="32">
        <v>46090</v>
      </c>
      <c r="P10" s="32">
        <v>46091</v>
      </c>
      <c r="Q10" s="32">
        <v>46092</v>
      </c>
      <c r="R10" s="32">
        <v>46093</v>
      </c>
      <c r="S10" s="32">
        <v>46094</v>
      </c>
      <c r="T10" s="32">
        <v>46095</v>
      </c>
      <c r="U10" s="32">
        <v>46096</v>
      </c>
      <c r="V10" s="32">
        <v>46097</v>
      </c>
      <c r="W10" s="32">
        <v>46098</v>
      </c>
      <c r="X10" s="32">
        <v>46099</v>
      </c>
      <c r="Y10" s="32">
        <v>46100</v>
      </c>
      <c r="Z10" s="32">
        <v>46101</v>
      </c>
      <c r="AA10" s="32">
        <v>46102</v>
      </c>
      <c r="AB10" s="32">
        <v>46103</v>
      </c>
      <c r="AC10" s="32">
        <v>46104</v>
      </c>
      <c r="AD10" s="32">
        <v>46105</v>
      </c>
      <c r="AE10" s="32">
        <v>46106</v>
      </c>
      <c r="AF10" s="32">
        <v>46107</v>
      </c>
      <c r="AG10" s="32">
        <v>46108</v>
      </c>
      <c r="AH10" s="32">
        <v>46109</v>
      </c>
      <c r="AI10" s="32">
        <v>46110</v>
      </c>
      <c r="AJ10" s="32">
        <v>46111</v>
      </c>
      <c r="AK10" s="32">
        <v>46112</v>
      </c>
      <c r="AL10" s="13" t="s">
        <v>56</v>
      </c>
      <c r="AM10" s="4" t="s">
        <v>18</v>
      </c>
      <c r="AN10" s="4" t="s">
        <v>19</v>
      </c>
      <c r="AO10" s="4" t="s">
        <v>20</v>
      </c>
      <c r="AP10" s="15"/>
      <c r="AQ10" s="16"/>
    </row>
    <row r="11" spans="1:43" customFormat="1" ht="15" x14ac:dyDescent="0.25">
      <c r="A11" s="30" t="s">
        <v>54</v>
      </c>
      <c r="C11" s="20" t="s">
        <v>53</v>
      </c>
      <c r="D11" s="11"/>
      <c r="E11" s="3"/>
      <c r="F11" s="13">
        <f>'Feb 2026'!AI11</f>
        <v>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35">
        <f>SUM(G11:AK11)+F11</f>
        <v>0</v>
      </c>
      <c r="AP11" t="s">
        <v>57</v>
      </c>
    </row>
    <row r="12" spans="1:43" customFormat="1" ht="15" x14ac:dyDescent="0.25">
      <c r="A12" s="30" t="s">
        <v>54</v>
      </c>
      <c r="B12" s="20" t="s">
        <v>31</v>
      </c>
      <c r="C12" s="20" t="s">
        <v>32</v>
      </c>
      <c r="D12" s="11"/>
      <c r="E12" s="3"/>
      <c r="F12" s="13">
        <f>'Feb 2026'!AI12</f>
        <v>288</v>
      </c>
      <c r="G12" s="28"/>
      <c r="H12" s="28"/>
      <c r="I12" s="28"/>
      <c r="J12" s="28">
        <v>-8</v>
      </c>
      <c r="K12" s="28"/>
      <c r="L12" s="28"/>
      <c r="M12" s="28"/>
      <c r="N12" s="28"/>
      <c r="O12" s="28"/>
      <c r="P12" s="28"/>
      <c r="Q12" s="28">
        <f>-1+-3</f>
        <v>-4</v>
      </c>
      <c r="R12" s="28"/>
      <c r="S12" s="28"/>
      <c r="T12" s="28"/>
      <c r="U12" s="28"/>
      <c r="V12" s="28"/>
      <c r="W12" s="28">
        <v>-3</v>
      </c>
      <c r="X12" s="28"/>
      <c r="Y12" s="28"/>
      <c r="Z12" s="28"/>
      <c r="AA12" s="28">
        <v>-1</v>
      </c>
      <c r="AB12" s="28"/>
      <c r="AC12" s="28"/>
      <c r="AD12" s="28"/>
      <c r="AE12" s="28"/>
      <c r="AF12" s="28">
        <v>-1</v>
      </c>
      <c r="AG12" s="28"/>
      <c r="AH12" s="28"/>
      <c r="AI12" s="28"/>
      <c r="AJ12" s="28">
        <v>-10</v>
      </c>
      <c r="AK12" s="28"/>
      <c r="AL12" s="35">
        <f t="shared" ref="AL12:AL21" si="0">SUM(G12:AK12)+F12</f>
        <v>261</v>
      </c>
      <c r="AM12">
        <v>10</v>
      </c>
      <c r="AN12">
        <v>15</v>
      </c>
      <c r="AO12">
        <v>25</v>
      </c>
    </row>
    <row r="13" spans="1:43" customFormat="1" ht="15" x14ac:dyDescent="0.25">
      <c r="A13" s="30" t="s">
        <v>54</v>
      </c>
      <c r="B13" s="20" t="s">
        <v>33</v>
      </c>
      <c r="C13" s="20" t="s">
        <v>34</v>
      </c>
      <c r="D13" s="11"/>
      <c r="E13" s="3"/>
      <c r="F13" s="13">
        <f>'Feb 2026'!AI13</f>
        <v>279</v>
      </c>
      <c r="G13" s="28"/>
      <c r="H13" s="28"/>
      <c r="I13" s="28"/>
      <c r="J13" s="28"/>
      <c r="K13" s="28">
        <f>-23+-14</f>
        <v>-37</v>
      </c>
      <c r="L13" s="28">
        <f>-10+-14</f>
        <v>-24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>
        <v>-23</v>
      </c>
      <c r="AF13" s="28">
        <f>-42+-12</f>
        <v>-54</v>
      </c>
      <c r="AG13" s="28"/>
      <c r="AH13" s="28"/>
      <c r="AI13" s="33"/>
      <c r="AJ13" s="28">
        <v>-15</v>
      </c>
      <c r="AK13" s="31"/>
      <c r="AL13" s="35">
        <f>SUM(G13:AK13)+F13</f>
        <v>126</v>
      </c>
      <c r="AM13">
        <v>100</v>
      </c>
      <c r="AN13">
        <v>150</v>
      </c>
      <c r="AO13">
        <v>500</v>
      </c>
    </row>
    <row r="14" spans="1:43" customFormat="1" ht="15" x14ac:dyDescent="0.25">
      <c r="A14" s="30" t="s">
        <v>54</v>
      </c>
      <c r="B14" s="20" t="s">
        <v>35</v>
      </c>
      <c r="C14" s="20" t="s">
        <v>36</v>
      </c>
      <c r="D14" s="11"/>
      <c r="E14" s="3"/>
      <c r="F14" s="13">
        <f>'Feb 2026'!AI14</f>
        <v>20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35">
        <f t="shared" si="0"/>
        <v>20</v>
      </c>
      <c r="AP14" t="s">
        <v>57</v>
      </c>
    </row>
    <row r="15" spans="1:43" customFormat="1" ht="15" x14ac:dyDescent="0.25">
      <c r="A15" s="30" t="s">
        <v>54</v>
      </c>
      <c r="B15" s="20" t="s">
        <v>37</v>
      </c>
      <c r="C15" s="20" t="s">
        <v>38</v>
      </c>
      <c r="D15" s="11"/>
      <c r="E15" s="3"/>
      <c r="F15" s="13">
        <f>'Feb 2026'!AI15</f>
        <v>63</v>
      </c>
      <c r="G15" s="28"/>
      <c r="H15" s="28"/>
      <c r="I15" s="28"/>
      <c r="J15" s="28">
        <v>-8</v>
      </c>
      <c r="K15" s="28"/>
      <c r="L15" s="28"/>
      <c r="M15" s="28"/>
      <c r="N15" s="28"/>
      <c r="O15" s="28"/>
      <c r="P15" s="28"/>
      <c r="Q15" s="28">
        <f>-1+-3</f>
        <v>-4</v>
      </c>
      <c r="R15" s="28">
        <v>-5</v>
      </c>
      <c r="S15" s="28"/>
      <c r="T15" s="28"/>
      <c r="U15" s="31"/>
      <c r="V15" s="28"/>
      <c r="W15" s="28">
        <v>-3</v>
      </c>
      <c r="X15" s="28"/>
      <c r="Y15" s="28"/>
      <c r="Z15" s="28"/>
      <c r="AA15" s="28">
        <v>-1</v>
      </c>
      <c r="AB15" s="28"/>
      <c r="AC15" s="28"/>
      <c r="AD15" s="28"/>
      <c r="AE15" s="28"/>
      <c r="AF15" s="28">
        <v>-1</v>
      </c>
      <c r="AG15" s="28"/>
      <c r="AH15" s="28"/>
      <c r="AI15" s="28"/>
      <c r="AJ15" s="28"/>
      <c r="AK15" s="28"/>
      <c r="AL15" s="35">
        <f t="shared" si="0"/>
        <v>41</v>
      </c>
      <c r="AM15">
        <v>10</v>
      </c>
      <c r="AN15">
        <v>15</v>
      </c>
      <c r="AO15">
        <v>25</v>
      </c>
    </row>
    <row r="16" spans="1:43" customFormat="1" ht="15" x14ac:dyDescent="0.25">
      <c r="A16" s="30" t="s">
        <v>54</v>
      </c>
      <c r="B16" s="20" t="s">
        <v>39</v>
      </c>
      <c r="C16" s="20" t="s">
        <v>40</v>
      </c>
      <c r="D16" s="11"/>
      <c r="E16" s="3"/>
      <c r="F16" s="13">
        <f>'Feb 2026'!AI16</f>
        <v>180</v>
      </c>
      <c r="G16" s="28"/>
      <c r="H16" s="28"/>
      <c r="I16" s="28"/>
      <c r="J16" s="28"/>
      <c r="K16" s="28">
        <f>-23+-14</f>
        <v>-37</v>
      </c>
      <c r="L16" s="28">
        <f>-10+-14</f>
        <v>-24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>
        <v>-23</v>
      </c>
      <c r="AF16" s="28">
        <f>-42+-12</f>
        <v>-54</v>
      </c>
      <c r="AG16" s="28"/>
      <c r="AH16" s="28"/>
      <c r="AI16" s="28"/>
      <c r="AJ16" s="28">
        <v>-2</v>
      </c>
      <c r="AK16" s="31"/>
      <c r="AL16" s="35">
        <f t="shared" si="0"/>
        <v>40</v>
      </c>
      <c r="AM16">
        <v>100</v>
      </c>
      <c r="AN16">
        <v>150</v>
      </c>
      <c r="AO16">
        <v>500</v>
      </c>
    </row>
    <row r="17" spans="1:42" customFormat="1" ht="15" x14ac:dyDescent="0.25">
      <c r="A17" s="30" t="s">
        <v>54</v>
      </c>
      <c r="B17" s="20" t="s">
        <v>41</v>
      </c>
      <c r="C17" s="20" t="s">
        <v>42</v>
      </c>
      <c r="D17" s="11"/>
      <c r="E17" s="3"/>
      <c r="F17" s="13">
        <f>'Feb 2026'!AI17</f>
        <v>102</v>
      </c>
      <c r="G17" s="28"/>
      <c r="H17" s="28"/>
      <c r="I17" s="28">
        <v>-43</v>
      </c>
      <c r="J17" s="28"/>
      <c r="K17" s="28">
        <f>-14+-14+-31</f>
        <v>-59</v>
      </c>
      <c r="L17" s="28"/>
      <c r="M17" s="28"/>
      <c r="N17" s="28"/>
      <c r="O17" s="28"/>
      <c r="P17" s="28"/>
      <c r="Q17" s="28">
        <v>-19</v>
      </c>
      <c r="R17" s="31">
        <v>170</v>
      </c>
      <c r="S17" s="28"/>
      <c r="T17" s="28"/>
      <c r="U17" s="31">
        <v>40</v>
      </c>
      <c r="V17" s="28">
        <v>-8</v>
      </c>
      <c r="W17" s="28">
        <v>-29</v>
      </c>
      <c r="X17" s="28"/>
      <c r="Y17" s="28"/>
      <c r="Z17" s="28">
        <v>-30</v>
      </c>
      <c r="AA17" s="28">
        <v>-6</v>
      </c>
      <c r="AB17" s="28"/>
      <c r="AC17" s="28"/>
      <c r="AD17" s="28">
        <v>-20</v>
      </c>
      <c r="AE17" s="28">
        <v>-23</v>
      </c>
      <c r="AF17" s="28">
        <v>-42</v>
      </c>
      <c r="AG17" s="31"/>
      <c r="AH17" s="28"/>
      <c r="AI17" s="28"/>
      <c r="AJ17" s="28">
        <f>-2+-2+-4+-10</f>
        <v>-18</v>
      </c>
      <c r="AK17" s="28"/>
      <c r="AL17" s="35">
        <f t="shared" si="0"/>
        <v>15</v>
      </c>
      <c r="AM17">
        <v>150</v>
      </c>
      <c r="AN17">
        <v>200</v>
      </c>
      <c r="AO17">
        <v>500</v>
      </c>
    </row>
    <row r="18" spans="1:42" customFormat="1" ht="14.25" customHeight="1" x14ac:dyDescent="0.25">
      <c r="A18" s="30" t="s">
        <v>54</v>
      </c>
      <c r="B18" s="20" t="s">
        <v>43</v>
      </c>
      <c r="C18" s="20" t="s">
        <v>44</v>
      </c>
      <c r="D18" s="11"/>
      <c r="E18" s="3"/>
      <c r="F18" s="13">
        <f>'Feb 2026'!AI18</f>
        <v>5</v>
      </c>
      <c r="G18" s="28"/>
      <c r="H18" s="31">
        <v>9</v>
      </c>
      <c r="I18" s="28"/>
      <c r="J18" s="28">
        <v>-5</v>
      </c>
      <c r="K18" s="28"/>
      <c r="L18" s="28">
        <v>-3</v>
      </c>
      <c r="M18" s="28">
        <v>-2</v>
      </c>
      <c r="N18" s="28"/>
      <c r="O18" s="28"/>
      <c r="P18" s="28"/>
      <c r="Q18" s="28">
        <f>-1+-3</f>
        <v>-4</v>
      </c>
      <c r="R18" s="1"/>
      <c r="S18" s="28"/>
      <c r="T18" s="28"/>
      <c r="U18" s="28"/>
      <c r="V18" s="28"/>
      <c r="W18" s="28"/>
      <c r="X18" s="28"/>
      <c r="Y18" s="31"/>
      <c r="Z18" s="28"/>
      <c r="AA18" s="28"/>
      <c r="AB18" s="28"/>
      <c r="AC18" s="28"/>
      <c r="AD18" s="28"/>
      <c r="AE18" s="28"/>
      <c r="AF18" s="28"/>
      <c r="AG18" s="33"/>
      <c r="AH18" s="28"/>
      <c r="AI18" s="28"/>
      <c r="AJ18" s="28"/>
      <c r="AK18" s="28"/>
      <c r="AL18" s="35">
        <f t="shared" si="0"/>
        <v>0</v>
      </c>
      <c r="AM18">
        <v>10</v>
      </c>
      <c r="AN18">
        <v>15</v>
      </c>
      <c r="AO18">
        <v>25</v>
      </c>
    </row>
    <row r="19" spans="1:42" customFormat="1" ht="15" x14ac:dyDescent="0.25">
      <c r="A19" s="30" t="s">
        <v>54</v>
      </c>
      <c r="B19" s="20" t="s">
        <v>45</v>
      </c>
      <c r="C19" s="20" t="s">
        <v>46</v>
      </c>
      <c r="D19" s="11"/>
      <c r="E19" s="3"/>
      <c r="F19" s="13">
        <f>'Feb 2026'!AI19</f>
        <v>14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35">
        <f t="shared" si="0"/>
        <v>14</v>
      </c>
      <c r="AP19" t="s">
        <v>57</v>
      </c>
    </row>
    <row r="20" spans="1:42" customFormat="1" ht="15" x14ac:dyDescent="0.25">
      <c r="A20" s="30"/>
      <c r="B20" s="20" t="s">
        <v>47</v>
      </c>
      <c r="C20" s="20" t="s">
        <v>48</v>
      </c>
      <c r="D20" s="11"/>
      <c r="E20" s="3"/>
      <c r="F20" s="13">
        <f>'Feb 2026'!AI20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12"/>
      <c r="AI20" s="28"/>
      <c r="AJ20" s="28"/>
      <c r="AK20" s="28"/>
      <c r="AL20" s="35">
        <f t="shared" si="0"/>
        <v>0</v>
      </c>
      <c r="AP20" t="s">
        <v>57</v>
      </c>
    </row>
    <row r="21" spans="1:42" customFormat="1" ht="15" x14ac:dyDescent="0.25">
      <c r="A21" s="30" t="s">
        <v>54</v>
      </c>
      <c r="B21" s="20" t="s">
        <v>49</v>
      </c>
      <c r="C21" s="20" t="s">
        <v>50</v>
      </c>
      <c r="D21" s="11"/>
      <c r="E21" s="3"/>
      <c r="F21" s="13">
        <f>'Feb 2026'!AI21</f>
        <v>25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12"/>
      <c r="AI21" s="28"/>
      <c r="AJ21" s="28"/>
      <c r="AK21" s="28"/>
      <c r="AL21" s="35">
        <f t="shared" si="0"/>
        <v>25</v>
      </c>
      <c r="AP21" t="s">
        <v>57</v>
      </c>
    </row>
    <row r="22" spans="1:42" customFormat="1" ht="15" x14ac:dyDescent="0.25">
      <c r="A22" s="30" t="s">
        <v>54</v>
      </c>
      <c r="B22" s="20" t="s">
        <v>51</v>
      </c>
      <c r="C22" s="20" t="s">
        <v>52</v>
      </c>
      <c r="D22" s="11"/>
      <c r="E22" s="11"/>
      <c r="F22" s="13">
        <f>'Feb 2026'!AI22</f>
        <v>0</v>
      </c>
      <c r="G22" s="28"/>
      <c r="H22" s="28"/>
      <c r="I22" s="28"/>
      <c r="J22" s="28"/>
      <c r="K22" s="28"/>
      <c r="L22" s="28"/>
      <c r="M22" s="31">
        <v>7</v>
      </c>
      <c r="N22" s="28"/>
      <c r="O22" s="28"/>
      <c r="P22" s="28"/>
      <c r="Q22" s="28"/>
      <c r="R22" s="28">
        <f>-5+-1</f>
        <v>-6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35">
        <f t="shared" ref="AL22:AL23" si="1">F22+SUM(G22:AK22)</f>
        <v>1</v>
      </c>
      <c r="AP22" t="s">
        <v>57</v>
      </c>
    </row>
    <row r="23" spans="1:42" customFormat="1" ht="15" x14ac:dyDescent="0.25">
      <c r="A23" s="11"/>
      <c r="B23" s="11"/>
      <c r="C23" s="11"/>
      <c r="D23" s="11"/>
      <c r="E23" s="11"/>
      <c r="F23" s="11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35">
        <f t="shared" si="1"/>
        <v>0</v>
      </c>
    </row>
    <row r="24" spans="1:42" ht="12.75" customHeight="1" x14ac:dyDescent="0.2">
      <c r="A24" s="3"/>
      <c r="B24" s="27"/>
      <c r="C24" s="27"/>
      <c r="D24" s="2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6"/>
    </row>
    <row r="25" spans="1:42" x14ac:dyDescent="0.2">
      <c r="A25" s="3"/>
      <c r="B25" s="27"/>
      <c r="C25" s="27"/>
      <c r="D25" s="2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42" ht="79.5" customHeight="1" thickBot="1" x14ac:dyDescent="0.25">
      <c r="B26" s="7" t="s">
        <v>21</v>
      </c>
      <c r="C26" s="19"/>
      <c r="D26" s="19"/>
      <c r="E26" s="9" t="s">
        <v>22</v>
      </c>
      <c r="F26" s="22" t="s">
        <v>23</v>
      </c>
      <c r="G26" s="25" t="s">
        <v>24</v>
      </c>
      <c r="H26" s="26"/>
    </row>
    <row r="27" spans="1:42" ht="16.5" thickBot="1" x14ac:dyDescent="0.25">
      <c r="B27" s="7" t="s">
        <v>25</v>
      </c>
      <c r="C27" s="19"/>
      <c r="D27" s="19"/>
      <c r="E27" s="8"/>
      <c r="F27" s="21"/>
      <c r="G27" s="38"/>
      <c r="H27" s="39"/>
    </row>
    <row r="28" spans="1:42" ht="16.5" thickBot="1" x14ac:dyDescent="0.25">
      <c r="B28" s="7" t="s">
        <v>26</v>
      </c>
      <c r="C28" s="19"/>
      <c r="D28" s="19"/>
      <c r="E28" s="9"/>
      <c r="F28" s="22"/>
      <c r="G28" s="40"/>
      <c r="H28" s="41"/>
    </row>
    <row r="29" spans="1:42" ht="16.5" thickBot="1" x14ac:dyDescent="0.25">
      <c r="B29" s="7" t="s">
        <v>27</v>
      </c>
      <c r="C29" s="19"/>
      <c r="D29" s="19"/>
      <c r="E29" s="10"/>
      <c r="F29" s="23"/>
      <c r="G29" s="42"/>
      <c r="H29" s="43"/>
    </row>
    <row r="30" spans="1:42" ht="15.75" x14ac:dyDescent="0.2">
      <c r="B30" s="44" t="s">
        <v>28</v>
      </c>
      <c r="C30" s="17"/>
      <c r="D30" s="17"/>
      <c r="E30" s="47"/>
      <c r="F30" s="50"/>
      <c r="G30" s="53"/>
      <c r="H30" s="54"/>
    </row>
    <row r="31" spans="1:42" ht="15.75" x14ac:dyDescent="0.2">
      <c r="B31" s="45"/>
      <c r="C31" s="18"/>
      <c r="D31" s="18"/>
      <c r="E31" s="48"/>
      <c r="F31" s="51"/>
      <c r="G31" s="53"/>
      <c r="H31" s="54"/>
    </row>
    <row r="32" spans="1:42" ht="16.5" thickBot="1" x14ac:dyDescent="0.25">
      <c r="B32" s="46"/>
      <c r="C32" s="7"/>
      <c r="D32" s="7"/>
      <c r="E32" s="49"/>
      <c r="F32" s="52"/>
      <c r="G32" s="55"/>
      <c r="H32" s="56"/>
    </row>
  </sheetData>
  <mergeCells count="24">
    <mergeCell ref="G27:H27"/>
    <mergeCell ref="G28:H28"/>
    <mergeCell ref="G29:H29"/>
    <mergeCell ref="B30:B32"/>
    <mergeCell ref="E30:E32"/>
    <mergeCell ref="F30:F32"/>
    <mergeCell ref="G30:H3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L11:AL23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55A5-02BE-49CF-8499-70A0190D89AC}">
  <dimension ref="A1:AO47"/>
  <sheetViews>
    <sheetView tabSelected="1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Q12" sqref="Q12"/>
    </sheetView>
  </sheetViews>
  <sheetFormatPr defaultRowHeight="15" x14ac:dyDescent="0.25"/>
  <cols>
    <col min="2" max="2" width="12" bestFit="1" customWidth="1"/>
    <col min="3" max="3" width="36.140625" bestFit="1" customWidth="1"/>
  </cols>
  <sheetData>
    <row r="1" spans="1:41" ht="22.5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41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41" ht="15.75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41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41" ht="15.75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1">
        <v>0</v>
      </c>
      <c r="N5" s="71" t="s">
        <v>5</v>
      </c>
      <c r="O5" s="71"/>
      <c r="P5" s="72"/>
      <c r="Q5" s="73"/>
    </row>
    <row r="6" spans="1:41" ht="15.75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41" ht="15.75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9" spans="1:41" x14ac:dyDescent="0.25">
      <c r="A9" t="s">
        <v>12</v>
      </c>
    </row>
    <row r="10" spans="1:41" ht="26.25" x14ac:dyDescent="0.25">
      <c r="A10" s="24" t="s">
        <v>13</v>
      </c>
      <c r="B10" s="5" t="s">
        <v>14</v>
      </c>
      <c r="C10" s="5" t="s">
        <v>15</v>
      </c>
      <c r="D10" s="5" t="s">
        <v>16</v>
      </c>
      <c r="E10" s="6" t="s">
        <v>17</v>
      </c>
      <c r="F10" s="13" t="s">
        <v>55</v>
      </c>
      <c r="G10" s="32">
        <v>46113</v>
      </c>
      <c r="H10" s="32">
        <v>46114</v>
      </c>
      <c r="I10" s="32">
        <v>46115</v>
      </c>
      <c r="J10" s="32">
        <v>46116</v>
      </c>
      <c r="K10" s="32">
        <v>46117</v>
      </c>
      <c r="L10" s="32">
        <v>46118</v>
      </c>
      <c r="M10" s="32">
        <v>46119</v>
      </c>
      <c r="N10" s="32">
        <v>46120</v>
      </c>
      <c r="O10" s="32">
        <v>46121</v>
      </c>
      <c r="P10" s="32">
        <v>46122</v>
      </c>
      <c r="Q10" s="32">
        <v>46123</v>
      </c>
      <c r="R10" s="32">
        <v>46124</v>
      </c>
      <c r="S10" s="32">
        <v>46125</v>
      </c>
      <c r="T10" s="32">
        <v>46126</v>
      </c>
      <c r="U10" s="32">
        <v>46127</v>
      </c>
      <c r="V10" s="32">
        <v>46128</v>
      </c>
      <c r="W10" s="32">
        <v>46129</v>
      </c>
      <c r="X10" s="32">
        <v>46130</v>
      </c>
      <c r="Y10" s="32">
        <v>46131</v>
      </c>
      <c r="Z10" s="32">
        <v>46132</v>
      </c>
      <c r="AA10" s="32">
        <v>46133</v>
      </c>
      <c r="AB10" s="32">
        <v>46134</v>
      </c>
      <c r="AC10" s="32">
        <v>46135</v>
      </c>
      <c r="AD10" s="32">
        <v>46136</v>
      </c>
      <c r="AE10" s="32">
        <v>46137</v>
      </c>
      <c r="AF10" s="32">
        <v>46138</v>
      </c>
      <c r="AG10" s="32">
        <v>46139</v>
      </c>
      <c r="AH10" s="32">
        <v>46140</v>
      </c>
      <c r="AI10" s="32">
        <v>46141</v>
      </c>
      <c r="AJ10" s="32">
        <v>46142</v>
      </c>
      <c r="AK10" s="13" t="s">
        <v>56</v>
      </c>
      <c r="AL10" s="4" t="s">
        <v>18</v>
      </c>
      <c r="AM10" s="4" t="s">
        <v>19</v>
      </c>
      <c r="AN10" s="4" t="s">
        <v>20</v>
      </c>
      <c r="AO10" s="15"/>
    </row>
    <row r="11" spans="1:41" x14ac:dyDescent="0.25">
      <c r="A11" s="30" t="s">
        <v>54</v>
      </c>
      <c r="C11" s="20" t="s">
        <v>53</v>
      </c>
      <c r="D11" s="11"/>
      <c r="E11" s="3"/>
      <c r="F11" s="13">
        <f>'March 2026'!AL11</f>
        <v>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35">
        <f t="shared" ref="AK11:AK21" si="0">SUM(G11:AJ11)+F11</f>
        <v>0</v>
      </c>
      <c r="AO11" t="s">
        <v>57</v>
      </c>
    </row>
    <row r="12" spans="1:41" x14ac:dyDescent="0.25">
      <c r="A12" s="30" t="s">
        <v>54</v>
      </c>
      <c r="B12" s="20" t="s">
        <v>31</v>
      </c>
      <c r="C12" s="20" t="s">
        <v>32</v>
      </c>
      <c r="D12" s="11"/>
      <c r="E12" s="3"/>
      <c r="F12" s="13">
        <f>'March 2026'!AL12</f>
        <v>261</v>
      </c>
      <c r="G12" s="28"/>
      <c r="H12" s="28"/>
      <c r="I12" s="28"/>
      <c r="J12" s="28"/>
      <c r="K12" s="28"/>
      <c r="L12" s="28"/>
      <c r="M12" s="28">
        <v>-2</v>
      </c>
      <c r="N12" s="28"/>
      <c r="O12" s="28"/>
      <c r="P12" s="74">
        <v>550</v>
      </c>
      <c r="Q12" s="28"/>
      <c r="R12" s="28"/>
      <c r="S12" s="28">
        <v>-12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35">
        <f t="shared" si="0"/>
        <v>797</v>
      </c>
      <c r="AL12">
        <v>10</v>
      </c>
      <c r="AM12">
        <v>15</v>
      </c>
      <c r="AN12">
        <v>25</v>
      </c>
    </row>
    <row r="13" spans="1:41" x14ac:dyDescent="0.25">
      <c r="A13" s="30" t="s">
        <v>54</v>
      </c>
      <c r="B13" s="20" t="s">
        <v>33</v>
      </c>
      <c r="C13" s="20" t="s">
        <v>34</v>
      </c>
      <c r="D13" s="11"/>
      <c r="E13" s="3"/>
      <c r="F13" s="13">
        <f>'March 2026'!AL13</f>
        <v>126</v>
      </c>
      <c r="G13" s="28"/>
      <c r="H13" s="28"/>
      <c r="I13" s="28"/>
      <c r="J13" s="28"/>
      <c r="K13" s="28"/>
      <c r="L13" s="28">
        <f>-25+-23</f>
        <v>-48</v>
      </c>
      <c r="M13" s="28">
        <v>-2</v>
      </c>
      <c r="N13" s="28">
        <f>-79+-40</f>
        <v>-119</v>
      </c>
      <c r="O13" s="28"/>
      <c r="P13" s="28"/>
      <c r="Q13" s="28"/>
      <c r="R13" s="31">
        <v>1400</v>
      </c>
      <c r="S13" s="28">
        <v>-93</v>
      </c>
      <c r="T13" s="28"/>
      <c r="U13" s="28">
        <f>-30+-30</f>
        <v>-60</v>
      </c>
      <c r="V13" s="28"/>
      <c r="W13" s="28">
        <v>-44</v>
      </c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33"/>
      <c r="AJ13" s="28"/>
      <c r="AK13" s="35">
        <f t="shared" si="0"/>
        <v>1160</v>
      </c>
      <c r="AL13">
        <v>100</v>
      </c>
      <c r="AM13">
        <v>150</v>
      </c>
      <c r="AN13">
        <v>500</v>
      </c>
    </row>
    <row r="14" spans="1:41" x14ac:dyDescent="0.25">
      <c r="A14" s="30" t="s">
        <v>54</v>
      </c>
      <c r="B14" s="20" t="s">
        <v>35</v>
      </c>
      <c r="C14" s="20" t="s">
        <v>36</v>
      </c>
      <c r="D14" s="11"/>
      <c r="E14" s="3"/>
      <c r="F14" s="13">
        <f>'March 2026'!AL14</f>
        <v>20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35">
        <f t="shared" si="0"/>
        <v>20</v>
      </c>
      <c r="AO14" t="s">
        <v>57</v>
      </c>
    </row>
    <row r="15" spans="1:41" x14ac:dyDescent="0.25">
      <c r="A15" s="30" t="s">
        <v>54</v>
      </c>
      <c r="B15" s="20" t="s">
        <v>37</v>
      </c>
      <c r="C15" s="20" t="s">
        <v>38</v>
      </c>
      <c r="D15" s="11"/>
      <c r="E15" s="3"/>
      <c r="F15" s="13">
        <f>'March 2026'!AL15</f>
        <v>41</v>
      </c>
      <c r="G15" s="28"/>
      <c r="H15" s="28"/>
      <c r="I15" s="28"/>
      <c r="J15" s="28"/>
      <c r="K15" s="28"/>
      <c r="L15" s="28"/>
      <c r="M15" s="28">
        <v>-2</v>
      </c>
      <c r="N15" s="28"/>
      <c r="O15" s="28"/>
      <c r="P15" s="28"/>
      <c r="Q15" s="28"/>
      <c r="R15" s="28"/>
      <c r="S15" s="28">
        <v>-12</v>
      </c>
      <c r="T15" s="28"/>
      <c r="U15" s="31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35">
        <f t="shared" si="0"/>
        <v>27</v>
      </c>
      <c r="AL15">
        <v>10</v>
      </c>
      <c r="AM15">
        <v>15</v>
      </c>
      <c r="AN15">
        <v>25</v>
      </c>
    </row>
    <row r="16" spans="1:41" x14ac:dyDescent="0.25">
      <c r="A16" s="30" t="s">
        <v>54</v>
      </c>
      <c r="B16" s="20" t="s">
        <v>39</v>
      </c>
      <c r="C16" s="20" t="s">
        <v>40</v>
      </c>
      <c r="D16" s="11"/>
      <c r="E16" s="3"/>
      <c r="F16" s="13">
        <f>'March 2026'!AL16</f>
        <v>40</v>
      </c>
      <c r="G16" s="28"/>
      <c r="H16" s="28"/>
      <c r="I16" s="28">
        <f>-25+-23</f>
        <v>-48</v>
      </c>
      <c r="J16" s="28"/>
      <c r="K16" s="28"/>
      <c r="L16" s="28"/>
      <c r="M16" s="28">
        <v>-2</v>
      </c>
      <c r="N16" s="28">
        <v>-50</v>
      </c>
      <c r="O16" s="28"/>
      <c r="P16" s="28"/>
      <c r="Q16" s="28"/>
      <c r="R16" s="31">
        <v>100</v>
      </c>
      <c r="S16" s="28">
        <f>-29+-31+-40</f>
        <v>-100</v>
      </c>
      <c r="T16" s="28"/>
      <c r="U16" s="28"/>
      <c r="V16" s="28"/>
      <c r="W16" s="31">
        <v>1900</v>
      </c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35">
        <f t="shared" si="0"/>
        <v>1840</v>
      </c>
      <c r="AL16">
        <v>100</v>
      </c>
      <c r="AM16">
        <v>150</v>
      </c>
      <c r="AN16">
        <v>500</v>
      </c>
    </row>
    <row r="17" spans="1:41" x14ac:dyDescent="0.25">
      <c r="A17" s="30" t="s">
        <v>54</v>
      </c>
      <c r="B17" s="20" t="s">
        <v>41</v>
      </c>
      <c r="C17" s="20" t="s">
        <v>42</v>
      </c>
      <c r="D17" s="11"/>
      <c r="E17" s="3"/>
      <c r="F17" s="13">
        <f>'March 2026'!AL17</f>
        <v>15</v>
      </c>
      <c r="G17" s="28">
        <v>-11</v>
      </c>
      <c r="H17" s="28"/>
      <c r="I17" s="28"/>
      <c r="J17" s="31">
        <v>180</v>
      </c>
      <c r="K17" s="28"/>
      <c r="L17" s="28">
        <f>-5+-25+-23</f>
        <v>-53</v>
      </c>
      <c r="M17" s="28">
        <v>-2</v>
      </c>
      <c r="N17" s="28">
        <f>-79+-40</f>
        <v>-119</v>
      </c>
      <c r="O17" s="28"/>
      <c r="P17" s="28"/>
      <c r="Q17" s="28"/>
      <c r="R17" s="31"/>
      <c r="S17" s="28"/>
      <c r="T17" s="28"/>
      <c r="U17" s="31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31"/>
      <c r="AH17" s="28"/>
      <c r="AI17" s="28"/>
      <c r="AJ17" s="28"/>
      <c r="AK17" s="35">
        <f t="shared" si="0"/>
        <v>10</v>
      </c>
      <c r="AL17">
        <v>150</v>
      </c>
      <c r="AM17">
        <v>200</v>
      </c>
      <c r="AN17">
        <v>500</v>
      </c>
    </row>
    <row r="18" spans="1:41" x14ac:dyDescent="0.25">
      <c r="A18" s="30" t="s">
        <v>54</v>
      </c>
      <c r="B18" s="20" t="s">
        <v>43</v>
      </c>
      <c r="C18" s="20" t="s">
        <v>44</v>
      </c>
      <c r="D18" s="11"/>
      <c r="E18" s="3"/>
      <c r="F18" s="13">
        <f>'March 2026'!AL18</f>
        <v>0</v>
      </c>
      <c r="G18" s="28"/>
      <c r="H18" s="31"/>
      <c r="I18" s="28"/>
      <c r="J18" s="31">
        <v>5</v>
      </c>
      <c r="K18" s="28"/>
      <c r="L18" s="28"/>
      <c r="M18" s="28">
        <v>-2</v>
      </c>
      <c r="N18" s="28"/>
      <c r="O18" s="28"/>
      <c r="P18" s="28"/>
      <c r="Q18" s="28"/>
      <c r="R18" s="1"/>
      <c r="S18" s="28">
        <v>-3</v>
      </c>
      <c r="T18" s="28"/>
      <c r="U18" s="28"/>
      <c r="V18" s="28"/>
      <c r="W18" s="28"/>
      <c r="X18" s="28"/>
      <c r="Y18" s="31"/>
      <c r="Z18" s="28"/>
      <c r="AA18" s="28"/>
      <c r="AB18" s="28"/>
      <c r="AC18" s="28"/>
      <c r="AD18" s="28"/>
      <c r="AE18" s="28"/>
      <c r="AF18" s="28"/>
      <c r="AG18" s="33"/>
      <c r="AH18" s="28"/>
      <c r="AI18" s="28"/>
      <c r="AJ18" s="28"/>
      <c r="AK18" s="35">
        <f t="shared" si="0"/>
        <v>0</v>
      </c>
      <c r="AL18">
        <v>10</v>
      </c>
      <c r="AM18">
        <v>15</v>
      </c>
      <c r="AN18">
        <v>25</v>
      </c>
    </row>
    <row r="19" spans="1:41" x14ac:dyDescent="0.25">
      <c r="A19" s="30" t="s">
        <v>54</v>
      </c>
      <c r="B19" s="20" t="s">
        <v>45</v>
      </c>
      <c r="C19" s="20" t="s">
        <v>46</v>
      </c>
      <c r="D19" s="11"/>
      <c r="E19" s="3"/>
      <c r="F19" s="13">
        <f>'March 2026'!AL19</f>
        <v>14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35">
        <f t="shared" si="0"/>
        <v>14</v>
      </c>
      <c r="AO19" t="s">
        <v>57</v>
      </c>
    </row>
    <row r="20" spans="1:41" x14ac:dyDescent="0.25">
      <c r="A20" s="30"/>
      <c r="B20" s="20" t="s">
        <v>47</v>
      </c>
      <c r="C20" s="20" t="s">
        <v>48</v>
      </c>
      <c r="D20" s="11"/>
      <c r="E20" s="3"/>
      <c r="F20" s="13">
        <f>'March 2026'!AL20</f>
        <v>0</v>
      </c>
      <c r="G20" s="28"/>
      <c r="H20" s="28"/>
      <c r="I20" s="28"/>
      <c r="J20" s="28"/>
      <c r="K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12"/>
      <c r="AI20" s="28"/>
      <c r="AJ20" s="28"/>
      <c r="AK20" s="35">
        <f t="shared" si="0"/>
        <v>0</v>
      </c>
      <c r="AO20" t="s">
        <v>57</v>
      </c>
    </row>
    <row r="21" spans="1:41" x14ac:dyDescent="0.25">
      <c r="A21" s="30" t="s">
        <v>54</v>
      </c>
      <c r="B21" s="20" t="s">
        <v>49</v>
      </c>
      <c r="C21" s="20" t="s">
        <v>50</v>
      </c>
      <c r="D21" s="11"/>
      <c r="E21" s="3"/>
      <c r="F21" s="13">
        <f>'March 2026'!AL21</f>
        <v>25</v>
      </c>
      <c r="G21" s="28"/>
      <c r="H21" s="28"/>
      <c r="I21" s="28"/>
      <c r="J21" s="28"/>
      <c r="K21" s="28"/>
      <c r="L21" s="28">
        <v>-9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12"/>
      <c r="AI21" s="28"/>
      <c r="AJ21" s="28"/>
      <c r="AK21" s="35">
        <f t="shared" si="0"/>
        <v>16</v>
      </c>
      <c r="AO21" t="s">
        <v>57</v>
      </c>
    </row>
    <row r="22" spans="1:41" x14ac:dyDescent="0.25">
      <c r="A22" s="30" t="s">
        <v>54</v>
      </c>
      <c r="B22" s="20" t="s">
        <v>51</v>
      </c>
      <c r="C22" s="20" t="s">
        <v>52</v>
      </c>
      <c r="D22" s="11"/>
      <c r="E22" s="11"/>
      <c r="F22" s="13">
        <f>'March 2026'!AL22</f>
        <v>1</v>
      </c>
      <c r="G22" s="28"/>
      <c r="H22" s="28"/>
      <c r="I22" s="28"/>
      <c r="J22" s="28"/>
      <c r="K22" s="28"/>
      <c r="L22" s="28"/>
      <c r="M22" s="31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35">
        <f>F22+SUM(G22:AJ22)</f>
        <v>1</v>
      </c>
      <c r="AO22" t="s">
        <v>57</v>
      </c>
    </row>
    <row r="23" spans="1:41" x14ac:dyDescent="0.25">
      <c r="A23" s="11"/>
      <c r="B23" s="11"/>
      <c r="C23" s="11"/>
      <c r="D23" s="11"/>
      <c r="E23" s="11"/>
      <c r="F23" s="11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35">
        <f>F23+SUM(G23:AJ23)</f>
        <v>0</v>
      </c>
    </row>
    <row r="24" spans="1:41" x14ac:dyDescent="0.25">
      <c r="A24" s="3"/>
      <c r="B24" s="27"/>
      <c r="C24" s="27"/>
      <c r="D24" s="2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6"/>
      <c r="AL24" s="1"/>
      <c r="AM24" s="1"/>
      <c r="AN24" s="1"/>
      <c r="AO24" s="1"/>
    </row>
    <row r="25" spans="1:41" x14ac:dyDescent="0.25">
      <c r="A25" s="3"/>
      <c r="B25" s="27"/>
      <c r="C25" s="27"/>
      <c r="D25" s="2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1"/>
      <c r="AM25" s="1"/>
      <c r="AN25" s="1"/>
      <c r="AO25" s="1"/>
    </row>
    <row r="26" spans="1:41" ht="32.25" thickBot="1" x14ac:dyDescent="0.3">
      <c r="A26" s="1"/>
      <c r="B26" s="7" t="s">
        <v>21</v>
      </c>
      <c r="C26" s="19"/>
      <c r="D26" s="19"/>
      <c r="E26" s="9" t="s">
        <v>22</v>
      </c>
      <c r="F26" s="22" t="s">
        <v>23</v>
      </c>
      <c r="G26" s="25" t="s">
        <v>24</v>
      </c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6.5" thickBot="1" x14ac:dyDescent="0.3">
      <c r="A27" s="1"/>
      <c r="B27" s="7" t="s">
        <v>25</v>
      </c>
      <c r="C27" s="19"/>
      <c r="D27" s="19"/>
      <c r="E27" s="8"/>
      <c r="F27" s="21"/>
      <c r="G27" s="38"/>
      <c r="H27" s="3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32.25" thickBot="1" x14ac:dyDescent="0.3">
      <c r="A28" s="1"/>
      <c r="B28" s="7" t="s">
        <v>26</v>
      </c>
      <c r="C28" s="19"/>
      <c r="D28" s="19"/>
      <c r="E28" s="9"/>
      <c r="F28" s="22"/>
      <c r="G28" s="40"/>
      <c r="H28" s="4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6.5" thickBot="1" x14ac:dyDescent="0.3">
      <c r="A29" s="1"/>
      <c r="B29" s="7" t="s">
        <v>27</v>
      </c>
      <c r="C29" s="19"/>
      <c r="D29" s="19"/>
      <c r="E29" s="10"/>
      <c r="F29" s="23"/>
      <c r="G29" s="42"/>
      <c r="H29" s="4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x14ac:dyDescent="0.25">
      <c r="A30" s="1"/>
      <c r="B30" s="44" t="s">
        <v>28</v>
      </c>
      <c r="C30" s="17"/>
      <c r="D30" s="17"/>
      <c r="E30" s="47"/>
      <c r="F30" s="50"/>
      <c r="G30" s="53"/>
      <c r="H30" s="5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x14ac:dyDescent="0.25">
      <c r="A31" s="1"/>
      <c r="B31" s="45"/>
      <c r="C31" s="18"/>
      <c r="D31" s="18"/>
      <c r="E31" s="48"/>
      <c r="F31" s="51"/>
      <c r="G31" s="53"/>
      <c r="H31" s="5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6.5" thickBot="1" x14ac:dyDescent="0.3">
      <c r="A32" s="1"/>
      <c r="B32" s="46"/>
      <c r="C32" s="7"/>
      <c r="D32" s="7"/>
      <c r="E32" s="49"/>
      <c r="F32" s="52"/>
      <c r="G32" s="55"/>
      <c r="H32" s="5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25">
      <c r="A33" s="1"/>
      <c r="B33" s="2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5">
      <c r="A34" s="1"/>
      <c r="B34" s="2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s="1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25">
      <c r="A36" s="1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25">
      <c r="A37" s="1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25">
      <c r="A38" s="1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25">
      <c r="A39" s="1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25">
      <c r="A40" s="1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25">
      <c r="A41" s="1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25">
      <c r="A43" s="1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25">
      <c r="A44" s="1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25">
      <c r="A45" s="1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25">
      <c r="A46" s="1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25">
      <c r="A47" s="1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</sheetData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27:H27"/>
    <mergeCell ref="G28:H28"/>
    <mergeCell ref="G29:H29"/>
    <mergeCell ref="B30:B32"/>
    <mergeCell ref="E30:E32"/>
    <mergeCell ref="F30:F32"/>
    <mergeCell ref="G30:H32"/>
  </mergeCells>
  <conditionalFormatting sqref="AK11:AK23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Jan 2026</vt:lpstr>
      <vt:lpstr>Feb 2026</vt:lpstr>
      <vt:lpstr>March 2026</vt:lpstr>
      <vt:lpstr>April 2026</vt:lpstr>
      <vt:lpstr>'Jan 2026'!_Hlk122640495</vt:lpstr>
      <vt:lpstr>'March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2026-04-20T10:15:20Z</dcterms:modified>
  <cp:category/>
  <cp:contentStatus/>
</cp:coreProperties>
</file>