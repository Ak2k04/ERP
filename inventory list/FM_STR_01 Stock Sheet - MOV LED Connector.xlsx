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codeName="ThisWorkbook" defaultThemeVersion="124226"/>
  <xr:revisionPtr revIDLastSave="0" documentId="13_ncr:1_{D969483E-CB4F-47CA-8017-DFEB622FEE3A}" xr6:coauthVersionLast="47" xr6:coauthVersionMax="47" xr10:uidLastSave="{00000000-0000-0000-0000-000000000000}"/>
  <bookViews>
    <workbookView xWindow="-120" yWindow="-120" windowWidth="24240" windowHeight="13140" activeTab="3" xr2:uid="{00000000-000D-0000-FFFF-FFFF00000000}"/>
  </bookViews>
  <sheets>
    <sheet name="Jan 2026" sheetId="1" r:id="rId1"/>
    <sheet name="Feb 2026" sheetId="5" r:id="rId2"/>
    <sheet name="March 2026" sheetId="6" r:id="rId3"/>
    <sheet name="April 2026" sheetId="7" r:id="rId4"/>
  </sheets>
  <definedNames>
    <definedName name="_Hlk122640495" localSheetId="0">'Jan 2026'!$B$55</definedName>
    <definedName name="_Hlk126512593" localSheetId="0">'Jan 2026'!#REF!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7" l="1"/>
  <c r="U15" i="7" l="1"/>
  <c r="U14" i="7"/>
  <c r="AC48" i="6" l="1"/>
  <c r="F12" i="7" l="1"/>
  <c r="F13" i="7"/>
  <c r="F14" i="7"/>
  <c r="F15" i="7"/>
  <c r="AK15" i="7" s="1"/>
  <c r="F16" i="7"/>
  <c r="F17" i="7"/>
  <c r="F18" i="7"/>
  <c r="AK18" i="7" s="1"/>
  <c r="F19" i="7"/>
  <c r="AK19" i="7" s="1"/>
  <c r="F20" i="7"/>
  <c r="F21" i="7"/>
  <c r="F22" i="7"/>
  <c r="F23" i="7"/>
  <c r="AK23" i="7" s="1"/>
  <c r="F25" i="7"/>
  <c r="F27" i="7"/>
  <c r="AK27" i="7" s="1"/>
  <c r="F28" i="7"/>
  <c r="F29" i="7"/>
  <c r="F31" i="7"/>
  <c r="AK31" i="7" s="1"/>
  <c r="F33" i="7"/>
  <c r="F34" i="7"/>
  <c r="F35" i="7"/>
  <c r="AK35" i="7" s="1"/>
  <c r="F36" i="7"/>
  <c r="F37" i="7"/>
  <c r="F38" i="7"/>
  <c r="F39" i="7"/>
  <c r="AK39" i="7" s="1"/>
  <c r="F40" i="7"/>
  <c r="F41" i="7"/>
  <c r="F42" i="7"/>
  <c r="AK42" i="7" s="1"/>
  <c r="F43" i="7"/>
  <c r="F44" i="7"/>
  <c r="F45" i="7"/>
  <c r="AK45" i="7" s="1"/>
  <c r="F46" i="7"/>
  <c r="AK46" i="7" s="1"/>
  <c r="F47" i="7"/>
  <c r="AK47" i="7" s="1"/>
  <c r="F49" i="7"/>
  <c r="AK49" i="7"/>
  <c r="AK44" i="7"/>
  <c r="AK43" i="7"/>
  <c r="AK41" i="7"/>
  <c r="AK40" i="7"/>
  <c r="AK38" i="7"/>
  <c r="AK37" i="7"/>
  <c r="AK36" i="7"/>
  <c r="AK34" i="7"/>
  <c r="AK33" i="7"/>
  <c r="AK29" i="7"/>
  <c r="AK28" i="7"/>
  <c r="AK25" i="7"/>
  <c r="AK22" i="7"/>
  <c r="AK21" i="7"/>
  <c r="AK20" i="7"/>
  <c r="AK17" i="7"/>
  <c r="AK16" i="7"/>
  <c r="AK14" i="7"/>
  <c r="AK13" i="7"/>
  <c r="AK12" i="7"/>
  <c r="AF15" i="6"/>
  <c r="AJ20" i="6"/>
  <c r="AJ30" i="6" l="1"/>
  <c r="AJ24" i="6" l="1"/>
  <c r="AJ26" i="6"/>
  <c r="Q25" i="6"/>
  <c r="Q42" i="6"/>
  <c r="Q41" i="6"/>
  <c r="Q15" i="6" l="1"/>
  <c r="L15" i="6"/>
  <c r="L11" i="6"/>
  <c r="L14" i="6"/>
  <c r="L26" i="6" l="1"/>
  <c r="M30" i="6" l="1"/>
  <c r="M45" i="6"/>
  <c r="V44" i="6" l="1"/>
  <c r="W45" i="5" l="1"/>
  <c r="AE45" i="5"/>
  <c r="I26" i="6" l="1"/>
  <c r="K14" i="6" l="1"/>
  <c r="K15" i="6"/>
  <c r="K23" i="6" l="1"/>
  <c r="K20" i="6"/>
  <c r="Z42" i="1"/>
  <c r="AA24" i="1"/>
  <c r="H24" i="5"/>
  <c r="V41" i="1"/>
  <c r="S11" i="1"/>
  <c r="O41" i="1"/>
  <c r="AL49" i="1" l="1"/>
  <c r="AI13" i="5"/>
  <c r="F13" i="6" s="1"/>
  <c r="AL13" i="6" s="1"/>
  <c r="AI14" i="5"/>
  <c r="F14" i="6" s="1"/>
  <c r="AL14" i="6" s="1"/>
  <c r="AI16" i="5"/>
  <c r="F16" i="6" s="1"/>
  <c r="AL16" i="6" s="1"/>
  <c r="AI17" i="5"/>
  <c r="F17" i="6" s="1"/>
  <c r="AL17" i="6" s="1"/>
  <c r="AI18" i="5"/>
  <c r="F18" i="6" s="1"/>
  <c r="AL18" i="6" s="1"/>
  <c r="AI19" i="5"/>
  <c r="F19" i="6" s="1"/>
  <c r="AL19" i="6" s="1"/>
  <c r="AI21" i="5"/>
  <c r="F21" i="6" s="1"/>
  <c r="AL21" i="6" s="1"/>
  <c r="AI22" i="5"/>
  <c r="F22" i="6" s="1"/>
  <c r="AL22" i="6" s="1"/>
  <c r="AI28" i="5"/>
  <c r="F28" i="6" s="1"/>
  <c r="AL28" i="6" s="1"/>
  <c r="AI29" i="5"/>
  <c r="F29" i="6" s="1"/>
  <c r="AL29" i="6" s="1"/>
  <c r="AI31" i="5"/>
  <c r="F31" i="6" s="1"/>
  <c r="AL31" i="6" s="1"/>
  <c r="AI33" i="5"/>
  <c r="F33" i="6" s="1"/>
  <c r="AL33" i="6" s="1"/>
  <c r="AI34" i="5"/>
  <c r="F34" i="6" s="1"/>
  <c r="AL34" i="6" s="1"/>
  <c r="AI35" i="5"/>
  <c r="F35" i="6" s="1"/>
  <c r="AL35" i="6" s="1"/>
  <c r="AI36" i="5"/>
  <c r="F36" i="6" s="1"/>
  <c r="AL36" i="6" s="1"/>
  <c r="AI37" i="5"/>
  <c r="F37" i="6" s="1"/>
  <c r="AL37" i="6" s="1"/>
  <c r="AI40" i="5"/>
  <c r="F40" i="6" s="1"/>
  <c r="AL40" i="6" s="1"/>
  <c r="AI43" i="5"/>
  <c r="F43" i="6" s="1"/>
  <c r="AL43" i="6" s="1"/>
  <c r="AI44" i="5"/>
  <c r="F44" i="6" s="1"/>
  <c r="AL44" i="6" s="1"/>
  <c r="AI45" i="5"/>
  <c r="F45" i="6" s="1"/>
  <c r="AL45" i="6" s="1"/>
  <c r="AI46" i="5"/>
  <c r="F46" i="6" s="1"/>
  <c r="AL46" i="6" s="1"/>
  <c r="AI47" i="5"/>
  <c r="F47" i="6" s="1"/>
  <c r="AL47" i="6" s="1"/>
  <c r="AL11" i="1"/>
  <c r="F11" i="5" s="1"/>
  <c r="AI11" i="5" s="1"/>
  <c r="F11" i="6" s="1"/>
  <c r="AL11" i="6" s="1"/>
  <c r="F11" i="7" s="1"/>
  <c r="AK11" i="7" s="1"/>
  <c r="AL12" i="1"/>
  <c r="AL13" i="1"/>
  <c r="AL14" i="1"/>
  <c r="F14" i="5" s="1"/>
  <c r="AL15" i="1"/>
  <c r="F15" i="5" s="1"/>
  <c r="AI15" i="5" s="1"/>
  <c r="F15" i="6" s="1"/>
  <c r="AL15" i="6" s="1"/>
  <c r="AL16" i="1"/>
  <c r="AL17" i="1"/>
  <c r="AL18" i="1"/>
  <c r="AL19" i="1"/>
  <c r="AL20" i="1"/>
  <c r="F20" i="5" s="1"/>
  <c r="AI20" i="5" s="1"/>
  <c r="F20" i="6" s="1"/>
  <c r="AL20" i="6" s="1"/>
  <c r="AL21" i="1"/>
  <c r="AL22" i="1"/>
  <c r="AL23" i="1"/>
  <c r="F23" i="5" s="1"/>
  <c r="AI23" i="5" s="1"/>
  <c r="F23" i="6" s="1"/>
  <c r="AL23" i="6" s="1"/>
  <c r="AL24" i="1"/>
  <c r="F24" i="5" s="1"/>
  <c r="AI24" i="5" s="1"/>
  <c r="F24" i="6" s="1"/>
  <c r="AL24" i="6" s="1"/>
  <c r="F24" i="7" s="1"/>
  <c r="AK24" i="7" s="1"/>
  <c r="AL25" i="1"/>
  <c r="F25" i="5" s="1"/>
  <c r="AI25" i="5" s="1"/>
  <c r="F25" i="6" s="1"/>
  <c r="AL25" i="6" s="1"/>
  <c r="AL26" i="1"/>
  <c r="F26" i="5" s="1"/>
  <c r="AI26" i="5" s="1"/>
  <c r="F26" i="6" s="1"/>
  <c r="AL26" i="6" s="1"/>
  <c r="F26" i="7" s="1"/>
  <c r="AK26" i="7" s="1"/>
  <c r="AL27" i="1"/>
  <c r="AL28" i="1"/>
  <c r="F28" i="5" s="1"/>
  <c r="AL29" i="1"/>
  <c r="AL30" i="1"/>
  <c r="AL31" i="1"/>
  <c r="AL32" i="1"/>
  <c r="F32" i="5" s="1"/>
  <c r="AI32" i="5" s="1"/>
  <c r="F32" i="6" s="1"/>
  <c r="AL32" i="6" s="1"/>
  <c r="F32" i="7" s="1"/>
  <c r="AK32" i="7" s="1"/>
  <c r="AL33" i="1"/>
  <c r="AL34" i="1"/>
  <c r="AL35" i="1"/>
  <c r="AL36" i="1"/>
  <c r="F36" i="5" s="1"/>
  <c r="AL37" i="1"/>
  <c r="AL38" i="1"/>
  <c r="AL39" i="1"/>
  <c r="F39" i="5" s="1"/>
  <c r="AI39" i="5" s="1"/>
  <c r="F39" i="6" s="1"/>
  <c r="AL39" i="6" s="1"/>
  <c r="AL40" i="1"/>
  <c r="F40" i="5" s="1"/>
  <c r="AL41" i="1"/>
  <c r="F41" i="5" s="1"/>
  <c r="AI41" i="5" s="1"/>
  <c r="F41" i="6" s="1"/>
  <c r="AL41" i="6" s="1"/>
  <c r="AL42" i="1"/>
  <c r="F42" i="5" s="1"/>
  <c r="AI42" i="5" s="1"/>
  <c r="F42" i="6" s="1"/>
  <c r="AL42" i="6" s="1"/>
  <c r="AL43" i="1"/>
  <c r="F43" i="5" s="1"/>
  <c r="AL44" i="1"/>
  <c r="F44" i="5" s="1"/>
  <c r="AL45" i="1"/>
  <c r="AL46" i="1"/>
  <c r="AL47" i="1"/>
  <c r="F47" i="5" s="1"/>
  <c r="AL48" i="1"/>
  <c r="F48" i="5" s="1"/>
  <c r="AI48" i="5" s="1"/>
  <c r="F48" i="6" s="1"/>
  <c r="AL48" i="6" s="1"/>
  <c r="F48" i="7" s="1"/>
  <c r="AK48" i="7" s="1"/>
  <c r="F13" i="5"/>
  <c r="F37" i="5"/>
  <c r="F38" i="5"/>
  <c r="AI38" i="5" s="1"/>
  <c r="F38" i="6" s="1"/>
  <c r="AL38" i="6" s="1"/>
  <c r="F45" i="5"/>
  <c r="F46" i="5"/>
  <c r="F49" i="5"/>
  <c r="AI49" i="5" s="1"/>
  <c r="F49" i="6" s="1"/>
  <c r="AL49" i="6" s="1"/>
  <c r="F12" i="5"/>
  <c r="AI12" i="5" s="1"/>
  <c r="F12" i="6" s="1"/>
  <c r="AL12" i="6" s="1"/>
  <c r="F16" i="5"/>
  <c r="F17" i="5"/>
  <c r="F18" i="5"/>
  <c r="F19" i="5"/>
  <c r="F21" i="5"/>
  <c r="F22" i="5"/>
  <c r="F27" i="5"/>
  <c r="AI27" i="5" s="1"/>
  <c r="F27" i="6" s="1"/>
  <c r="AL27" i="6" s="1"/>
  <c r="F29" i="5"/>
  <c r="F30" i="5"/>
  <c r="AI30" i="5" s="1"/>
  <c r="F30" i="6" s="1"/>
  <c r="AL30" i="6" s="1"/>
  <c r="F30" i="7" s="1"/>
  <c r="AK30" i="7" s="1"/>
  <c r="F31" i="5"/>
  <c r="F33" i="5"/>
  <c r="F34" i="5"/>
  <c r="F35" i="5"/>
  <c r="AK24" i="1"/>
  <c r="Q45" i="5"/>
  <c r="AH26" i="5"/>
  <c r="AH24" i="5"/>
  <c r="S15" i="5"/>
  <c r="S14" i="5"/>
  <c r="AD15" i="5"/>
  <c r="AD14" i="5"/>
  <c r="Z15" i="5" l="1"/>
  <c r="Z14" i="5"/>
  <c r="Z23" i="5"/>
  <c r="Z20" i="5"/>
  <c r="J44" i="5"/>
  <c r="J26" i="5"/>
  <c r="J24" i="5"/>
  <c r="K23" i="5"/>
  <c r="K15" i="5"/>
  <c r="K14" i="5"/>
  <c r="J20" i="5"/>
  <c r="J23" i="5"/>
  <c r="J15" i="5"/>
  <c r="J14" i="5"/>
  <c r="AJ44" i="1"/>
  <c r="AJ26" i="1"/>
  <c r="AI24" i="1"/>
  <c r="AI26" i="1"/>
  <c r="AC15" i="1"/>
  <c r="AC14" i="1"/>
  <c r="AB15" i="1"/>
  <c r="AB14" i="1"/>
  <c r="W47" i="1"/>
  <c r="W42" i="1"/>
  <c r="W41" i="1"/>
  <c r="W15" i="1"/>
  <c r="V15" i="1"/>
  <c r="S15" i="1"/>
  <c r="S14" i="1"/>
  <c r="O24" i="1"/>
  <c r="O26" i="1"/>
  <c r="L24" i="1"/>
  <c r="L44" i="1"/>
  <c r="H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0" authorId="0" shapeId="0" xr:uid="{FFFE1B98-EF52-4F96-A72E-18ED636A084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Give Rack Numbers</t>
        </r>
      </text>
    </comment>
    <comment ref="AK16" authorId="0" shapeId="0" xr:uid="{AF0A4FDF-941F-4261-A7D0-2F06CD3BB54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Namotronics                    Inv-NM/CR/25-26/2021  Dt-30-Jan-26</t>
        </r>
      </text>
    </comment>
    <comment ref="M23" authorId="0" shapeId="0" xr:uid="{673CF2DA-A941-4B10-87D2-6C1340CCA93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Aarthi Electronics            Inv-AE/CR/25-26/3932  Dt.7-Jan-26</t>
        </r>
      </text>
    </comment>
    <comment ref="AK24" authorId="0" shapeId="0" xr:uid="{6E088F7F-CB2C-44B8-90FA-A07725C9D07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Lakshmi Electronics       Inv-2413  Dt-31-jan-26
</t>
        </r>
      </text>
    </comment>
    <comment ref="Z25" authorId="0" shapeId="0" xr:uid="{341479F5-54CA-4B1C-8DAE-4CAFE35A3CA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Lakshmi Electronics     Inv-2327  Dt-21-Jan-26</t>
        </r>
      </text>
    </comment>
    <comment ref="Z32" authorId="0" shapeId="0" xr:uid="{60EB87A1-8FAC-4C20-BFA0-E93C3B31D1F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Lakshmi Electronics     Inv-2327  Dt-21-Jan-26</t>
        </r>
      </text>
    </comment>
    <comment ref="AA32" authorId="0" shapeId="0" xr:uid="{06607F91-9821-47C9-92E0-E8AE2E2BD08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Aarthi Electronics            Inv-AE/CR/25-26/4116 Dt-21-jan-26</t>
        </r>
      </text>
    </comment>
    <comment ref="U41" authorId="0" shapeId="0" xr:uid="{8E4B33B9-FDB5-4BA8-B60E-4933CDDC48C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Aarthi Electronics            Inv-AE/CR/25-26/4060 Dt.16-Jan-26</t>
        </r>
      </text>
    </comment>
    <comment ref="Z41" authorId="0" shapeId="0" xr:uid="{01598ED4-8CEE-45F3-B6BD-E644730F9E0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Aarthi Electronics            Inv-AE/CR/25-26/4116 Dt-21-jan-26</t>
        </r>
      </text>
    </comment>
    <comment ref="U42" authorId="0" shapeId="0" xr:uid="{5A5DD4CD-B9A4-4FC2-A4B5-103E3C006A4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Aarthi Electronics            Inv-AE/CR/25-26/4060 Dt.16-Jan-26</t>
        </r>
      </text>
    </comment>
    <comment ref="X44" authorId="0" shapeId="0" xr:uid="{ABE40DEE-F894-4397-A1D1-425C44F7F22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Sansri Wires                       Inv -794 dt. 19-Jan-26</t>
        </r>
      </text>
    </comment>
    <comment ref="Z47" authorId="0" shapeId="0" xr:uid="{C0CBC15B-BDF5-442A-9D98-D70DBE2CEA7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Lakshmi Electronics     Inv-2327  Dt-21-Jan-26</t>
        </r>
      </text>
    </comment>
    <comment ref="AK47" authorId="0" shapeId="0" xr:uid="{98FBE114-F8EB-4697-AF03-A1128C354E1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Lakshmi Electronics       Inv-2412  Dt-31-jan-26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0" authorId="0" shapeId="0" xr:uid="{27EF6435-809D-4D95-9C7C-78C10168F9D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Give Rack Numbers</t>
        </r>
      </text>
    </comment>
    <comment ref="AA20" authorId="0" shapeId="0" xr:uid="{94661A04-A351-4C2E-9BE6-8FBFE3B9FE4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Aarthi Electronics            Inv -AE/CR/25-26/4567  Dt.21-Feb-26</t>
        </r>
      </text>
    </comment>
    <comment ref="AF20" authorId="0" shapeId="0" xr:uid="{721FC0EC-3357-4BD4-92D0-4513FA8EA03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Aarthi Electronics                 InvAE/CR/25-26/4640 Dt.27-Feb-26</t>
        </r>
      </text>
    </comment>
    <comment ref="AA24" authorId="0" shapeId="0" xr:uid="{5DFD8D78-341E-4CBD-8E21-27848167B77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Aarthi Electronics            Inv -AE/CR/25-26/4567  Dt.21-Feb-26</t>
        </r>
      </text>
    </comment>
    <comment ref="AF24" authorId="0" shapeId="0" xr:uid="{3AFC5C2B-F60B-4672-896B-5D96DCB39B4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Aarthi Electronics                 InvAE/CR/25-26/4640 Dt.27-Feb-26</t>
        </r>
      </text>
    </comment>
    <comment ref="AA26" authorId="0" shapeId="0" xr:uid="{127F3CFF-F88E-4A2D-984A-BE557D7FE6C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Aarthi Electronics            Inv -AE/CR/25-26/4567  Dt.21-Feb-26</t>
        </r>
      </text>
    </comment>
    <comment ref="AF26" authorId="0" shapeId="0" xr:uid="{F9067844-8FFE-4FA8-9064-CB73EA6ED5C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Aarthi Electronics                 InvAE/CR/25-26/4640 Dt.27-Feb-26</t>
        </r>
      </text>
    </comment>
    <comment ref="AA32" authorId="0" shapeId="0" xr:uid="{D6A29B2B-6659-4C9F-AC84-840D36EFD35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Aarthi Electronics            Inv -AE/CR/25-26/4567  Dt.21-Feb-26</t>
        </r>
      </text>
    </comment>
    <comment ref="P45" authorId="0" shapeId="0" xr:uid="{506BED8E-C34C-4723-94D2-4783BAFC1DA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Sansri Wires
Dt.11-Feb-26</t>
        </r>
      </text>
    </comment>
    <comment ref="W45" authorId="0" shapeId="0" xr:uid="{2A576C09-0068-4498-9197-0906107F6DE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Sansri Wires
Dt.17-Feb-26  Inv -880</t>
        </r>
      </text>
    </comment>
    <comment ref="AE45" authorId="0" shapeId="0" xr:uid="{7D8D2356-72D8-41E3-837E-D129C7183FC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Sansri Wires
Dt.17-Feb-26  Inv -908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0" authorId="0" shapeId="0" xr:uid="{517308DF-97AE-4348-922C-FDC9735D09E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Give Rack Numbers</t>
        </r>
      </text>
    </comment>
    <comment ref="R24" authorId="0" shapeId="0" xr:uid="{C15FF5CF-4C16-4364-A1C5-9C1339E08A5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Aarthi Electronics              Inv-AE/CR/25-26-4844    Dt-10-Mar-26</t>
        </r>
      </text>
    </comment>
    <comment ref="R26" authorId="0" shapeId="0" xr:uid="{D9D5ED37-E7E4-4C5F-BB68-8D7CE5E5446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Aarthi Electronics              Inv-AE/CR/25-26-4844    Dt-10-Mar-26</t>
        </r>
      </text>
    </comment>
    <comment ref="U44" authorId="0" shapeId="0" xr:uid="{DD2507CE-4C54-4AF6-8502-060D6975DBD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Sansri wires
Inv-963 Dt-16-mar-26</t>
        </r>
      </text>
    </comment>
    <comment ref="R47" authorId="0" shapeId="0" xr:uid="{91EB07DF-8327-42CC-80B3-B145ED89B14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Aarthi Electronics              Inv-AE/CR/25-26-4844    Dt-10-Mar-26</t>
        </r>
      </text>
    </comment>
    <comment ref="AC48" authorId="0" shapeId="0" xr:uid="{3BAB69AE-6A20-4052-B1F7-8D49DD21078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return from superhealth &amp; HCG Tower 1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0" authorId="0" shapeId="0" xr:uid="{996E9E53-BD3C-4A31-93A3-F8CCAFE9637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Give Rack Numbers</t>
        </r>
      </text>
    </comment>
    <comment ref="P21" authorId="0" shapeId="0" xr:uid="{DAFD2A99-9501-4E9C-A807-65135D5ABEA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Aarthi Electronics
Inv-AE/CR/26-27-155
 Dt.10-04-2026
</t>
        </r>
      </text>
    </comment>
    <comment ref="R21" authorId="0" shapeId="0" xr:uid="{D2E855B5-C492-4A19-AAF3-981643EE80E9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Aarthi Electronics
Inv-AE/CR/26-27-142
Dt.9-Apr-26</t>
        </r>
      </text>
    </comment>
    <comment ref="R25" authorId="0" shapeId="0" xr:uid="{53F89FB6-E639-4655-8504-DD1BE14866D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Aarthi Electronics
Inv-AE/CR/26-27-142
Dt.9-Apr-26</t>
        </r>
      </text>
    </comment>
    <comment ref="R42" authorId="0" shapeId="0" xr:uid="{4B21C8E6-D67A-4AC2-BB84-E78F5ACF3B66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Aarthi Electronics
Inv-AE/CR/26-27-142
Dt.9-Apr-26</t>
        </r>
      </text>
    </comment>
    <comment ref="T44" authorId="0" shapeId="0" xr:uid="{6C93EBB6-DC91-483C-994A-8594FC2F6F4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Paras Wires
Inv-SIP/2026/53
 Dt-11-Apr-26</t>
        </r>
      </text>
    </comment>
  </commentList>
</comments>
</file>

<file path=xl/sharedStrings.xml><?xml version="1.0" encoding="utf-8"?>
<sst xmlns="http://schemas.openxmlformats.org/spreadsheetml/2006/main" count="614" uniqueCount="116">
  <si>
    <t>FORMS AND FORMATS</t>
  </si>
  <si>
    <r>
      <rPr>
        <b/>
        <sz val="11"/>
        <color theme="1"/>
        <rFont val="Times New Roman"/>
        <family val="1"/>
      </rPr>
      <t>Title</t>
    </r>
    <r>
      <rPr>
        <b/>
        <sz val="12"/>
        <color theme="1"/>
        <rFont val="Times New Roman"/>
        <family val="1"/>
      </rPr>
      <t>:</t>
    </r>
    <r>
      <rPr>
        <sz val="11"/>
        <color theme="1"/>
        <rFont val="Times New Roman"/>
        <family val="1"/>
      </rPr>
      <t xml:space="preserve"> Stock Sheet</t>
    </r>
  </si>
  <si>
    <t>Department</t>
  </si>
  <si>
    <t>STORES</t>
  </si>
  <si>
    <t>Version No.</t>
  </si>
  <si>
    <t>Issued Date</t>
  </si>
  <si>
    <t>DOC. No.</t>
  </si>
  <si>
    <t>FM/STR/001</t>
  </si>
  <si>
    <t>Supersedes</t>
  </si>
  <si>
    <t>NIL</t>
  </si>
  <si>
    <t>Next Review Date</t>
  </si>
  <si>
    <t>Effective date</t>
  </si>
  <si>
    <t>Type of Goods</t>
  </si>
  <si>
    <t>Storage Location</t>
  </si>
  <si>
    <t>Part Number</t>
  </si>
  <si>
    <t>Product Name</t>
  </si>
  <si>
    <t>Rate</t>
  </si>
  <si>
    <t>Unit</t>
  </si>
  <si>
    <t>Minimum Stock</t>
  </si>
  <si>
    <t>Re order level</t>
  </si>
  <si>
    <t>Maximum Stock</t>
  </si>
  <si>
    <t>Functions</t>
  </si>
  <si>
    <t>Prepared By</t>
  </si>
  <si>
    <t>Reviewed By</t>
  </si>
  <si>
    <t>Approved By</t>
  </si>
  <si>
    <t>Name</t>
  </si>
  <si>
    <t>Designation</t>
  </si>
  <si>
    <t>Date</t>
  </si>
  <si>
    <t xml:space="preserve">Sign </t>
  </si>
  <si>
    <t>Teller Technologies Private Limited</t>
  </si>
  <si>
    <t>2nd Floor, No.1 7th Cross, 2nd Block TC Palya Main Road CSB Bank ATM Akshaya Nagar  Ramamurthi Nagar Bangalore-560016</t>
  </si>
  <si>
    <t>LED-0080002</t>
  </si>
  <si>
    <t>LED - Blue SMD - High Bright</t>
  </si>
  <si>
    <t>LED-0080004</t>
  </si>
  <si>
    <t>LED - Green 3mm TH</t>
  </si>
  <si>
    <t>LED-0080005</t>
  </si>
  <si>
    <t>LED - Green 5mm TH</t>
  </si>
  <si>
    <t>LED-0080006</t>
  </si>
  <si>
    <t>LED - Green SMD - High Bright</t>
  </si>
  <si>
    <t>LED-0080008</t>
  </si>
  <si>
    <t>LED - Red 3mm TH</t>
  </si>
  <si>
    <t>LED-0080009</t>
  </si>
  <si>
    <t>LED - Red SMD - High Bright</t>
  </si>
  <si>
    <t>LED-0080011</t>
  </si>
  <si>
    <t>LED - RGB XL3528 - SMD</t>
  </si>
  <si>
    <t>LED-0080013</t>
  </si>
  <si>
    <t>LED - Yellow SMD - High Bright (O)</t>
  </si>
  <si>
    <t>CTR-0310001</t>
  </si>
  <si>
    <t>2 Pin RMC - Female Connector - 1.25mm</t>
  </si>
  <si>
    <t>CTR-0310002</t>
  </si>
  <si>
    <t>2 Pin RMC - Female Connector - 2.54mm</t>
  </si>
  <si>
    <t>CTR-0310003</t>
  </si>
  <si>
    <t>2 Pin RMC - Male Connector - 1.25mm</t>
  </si>
  <si>
    <t>CTR-0310004</t>
  </si>
  <si>
    <t>2 Pin RMC - Male Connector - 1.25mm (Right Angle)</t>
  </si>
  <si>
    <t>CTR-0310005</t>
  </si>
  <si>
    <t>2 Pin RMC - Male Connector - 2.54mm</t>
  </si>
  <si>
    <t>CTR-0310006</t>
  </si>
  <si>
    <t>4 Pin RMC - Female Connector - 1.25mm</t>
  </si>
  <si>
    <t>CTR-0310007</t>
  </si>
  <si>
    <t>4 Pin RMC - Female Connector - 2.54mm</t>
  </si>
  <si>
    <t>CTR-0310008</t>
  </si>
  <si>
    <t>4 Pin RMC - Male Connector - 1.25mm</t>
  </si>
  <si>
    <t>CTR-0310009</t>
  </si>
  <si>
    <t>4 Pin RMC - Male Connector - 2.54mm</t>
  </si>
  <si>
    <t>CTR-0310010</t>
  </si>
  <si>
    <t>4 Pin RMC - Male Connector - 1.25mm (Right Angle)</t>
  </si>
  <si>
    <t>CTR-0310011</t>
  </si>
  <si>
    <t>5 Pin RMC - Male Connector - 2.54mm</t>
  </si>
  <si>
    <t>CTR-0310012</t>
  </si>
  <si>
    <t>6 Pin RMC - Female Connector - 1.25mm</t>
  </si>
  <si>
    <t>CTR-0310013</t>
  </si>
  <si>
    <t>6 Pin RMC - Female Connector - 2.54mm</t>
  </si>
  <si>
    <t>CTR-0310014</t>
  </si>
  <si>
    <t>6 Pin RMC - Male Connector - 1.25mm</t>
  </si>
  <si>
    <t>CTR-0310015</t>
  </si>
  <si>
    <t>6 Pin RMC - Male Connector - 2.54mm</t>
  </si>
  <si>
    <t>CTR-0310016</t>
  </si>
  <si>
    <t>7 Pin RMC - Female Connector - 2.54mm</t>
  </si>
  <si>
    <t>CTR-0310017</t>
  </si>
  <si>
    <t>7 Pin RMC - Male Connector - 2.54mm</t>
  </si>
  <si>
    <t>CTR-0310018</t>
  </si>
  <si>
    <t>8 Pin RMC - Female Connector - 2.54mm</t>
  </si>
  <si>
    <t>CTR-0310019</t>
  </si>
  <si>
    <t>8 Pin RMC - Male Connector - 2.54mm</t>
  </si>
  <si>
    <t>CTR-0310024</t>
  </si>
  <si>
    <t>3 Pin RMC - Female Connector - 2.54mm</t>
  </si>
  <si>
    <t>CTR-0310025</t>
  </si>
  <si>
    <t>3 Pin RMC - Male Connector - 2.54mm</t>
  </si>
  <si>
    <t>CBL-0290016</t>
  </si>
  <si>
    <t>2 Pin Power Cord w/o Socket</t>
  </si>
  <si>
    <t>CBL-0290001</t>
  </si>
  <si>
    <t>2 Pin Main Socket - TellerX</t>
  </si>
  <si>
    <t>CBL-0290002</t>
  </si>
  <si>
    <t>2 Pin Power Cord Philips - TellerX</t>
  </si>
  <si>
    <t>CBL-0290006</t>
  </si>
  <si>
    <t>HDMI to HDMI Cable 20Mtr</t>
  </si>
  <si>
    <t>E4</t>
  </si>
  <si>
    <t>F4</t>
  </si>
  <si>
    <t>A4</t>
  </si>
  <si>
    <t>A5</t>
  </si>
  <si>
    <t>C7</t>
  </si>
  <si>
    <t>F3</t>
  </si>
  <si>
    <t>CBL-0290010</t>
  </si>
  <si>
    <t>Spiral Cable 5 Mtrs (White) - 4 Core</t>
  </si>
  <si>
    <t>CBL-0290011</t>
  </si>
  <si>
    <t>Spiral Cable 5 Mtrs (White) - 6 Core</t>
  </si>
  <si>
    <t>C8</t>
  </si>
  <si>
    <t>2 Pin - Terminal block</t>
  </si>
  <si>
    <t>CBL-0290007</t>
  </si>
  <si>
    <t>HDMI to HDMI Cable 1.5Mtr - Teller X</t>
  </si>
  <si>
    <t>3.1 Handheld Fully assembled 4 Core</t>
  </si>
  <si>
    <t>Opening Stock</t>
  </si>
  <si>
    <t>3.0 Handheld Fully assembled 4 Core</t>
  </si>
  <si>
    <t>Closing Stock</t>
  </si>
  <si>
    <t>On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</si>
</sst>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Times New Roman"/>
      <family val="1"/>
    </font>
    <font>
      <sz val="11"/>
      <color rgb="FF00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9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4" fillId="2" borderId="5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4" fontId="5" fillId="0" borderId="3" xfId="0" applyNumberFormat="1" applyFont="1" applyBorder="1" applyAlignment="1">
      <alignment horizontal="center" vertical="center" wrapText="1"/>
    </xf>
    <xf numFmtId="0" fontId="0" fillId="0" borderId="1" xfId="0" applyBorder="1"/>
    <xf numFmtId="1" fontId="13" fillId="0" borderId="1" xfId="0" applyNumberFormat="1" applyFont="1" applyBorder="1" applyAlignment="1">
      <alignment horizontal="center" wrapText="1"/>
    </xf>
    <xf numFmtId="14" fontId="2" fillId="0" borderId="1" xfId="0" applyNumberFormat="1" applyFont="1" applyBorder="1"/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4" fillId="2" borderId="6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14" fillId="0" borderId="1" xfId="0" applyFont="1" applyBorder="1" applyAlignment="1">
      <alignment vertical="top"/>
    </xf>
    <xf numFmtId="0" fontId="5" fillId="2" borderId="16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14" fontId="5" fillId="0" borderId="16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1" fontId="3" fillId="0" borderId="14" xfId="0" applyNumberFormat="1" applyFont="1" applyBorder="1" applyAlignment="1">
      <alignment horizontal="center" wrapText="1"/>
    </xf>
    <xf numFmtId="0" fontId="4" fillId="2" borderId="21" xfId="0" applyFont="1" applyFill="1" applyBorder="1" applyAlignment="1">
      <alignment vertical="center"/>
    </xf>
    <xf numFmtId="0" fontId="4" fillId="2" borderId="22" xfId="0" applyFont="1" applyFill="1" applyBorder="1" applyAlignment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4" fillId="0" borderId="23" xfId="0" applyFont="1" applyBorder="1" applyAlignment="1">
      <alignment vertical="top"/>
    </xf>
    <xf numFmtId="0" fontId="15" fillId="0" borderId="1" xfId="0" applyFont="1" applyBorder="1" applyAlignment="1">
      <alignment horizontal="center"/>
    </xf>
    <xf numFmtId="14" fontId="16" fillId="0" borderId="1" xfId="0" applyNumberFormat="1" applyFont="1" applyBorder="1"/>
    <xf numFmtId="0" fontId="17" fillId="0" borderId="1" xfId="0" applyFont="1" applyBorder="1" applyAlignment="1">
      <alignment horizontal="center"/>
    </xf>
    <xf numFmtId="1" fontId="13" fillId="3" borderId="14" xfId="0" applyNumberFormat="1" applyFont="1" applyFill="1" applyBorder="1" applyAlignment="1">
      <alignment horizontal="center" wrapText="1"/>
    </xf>
    <xf numFmtId="1" fontId="17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5" fillId="2" borderId="2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4" fontId="5" fillId="0" borderId="20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4" fillId="2" borderId="6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center"/>
    </xf>
    <xf numFmtId="0" fontId="10" fillId="0" borderId="1" xfId="0" applyFont="1" applyBorder="1" applyAlignment="1">
      <alignment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Normal" xfId="0" builtinId="0"/>
  </cellStyles>
  <dxfs count="12"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0000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61"/>
  <sheetViews>
    <sheetView workbookViewId="0">
      <pane xSplit="3" ySplit="10" topLeftCell="D44" activePane="bottomRight" state="frozen"/>
      <selection pane="topRight" activeCell="D1" sqref="D1"/>
      <selection pane="bottomLeft" activeCell="A11" sqref="A11"/>
      <selection pane="bottomRight" activeCell="F49" sqref="F49"/>
    </sheetView>
  </sheetViews>
  <sheetFormatPr defaultColWidth="16.85546875" defaultRowHeight="12.75" customHeight="1" x14ac:dyDescent="0.2"/>
  <cols>
    <col min="1" max="1" width="8.85546875" style="1" customWidth="1"/>
    <col min="2" max="2" width="16.85546875" style="2"/>
    <col min="3" max="3" width="54.28515625" style="2" bestFit="1" customWidth="1"/>
    <col min="4" max="4" width="6" style="2" customWidth="1"/>
    <col min="5" max="5" width="6.5703125" style="1" customWidth="1"/>
    <col min="6" max="6" width="8.42578125" style="1" customWidth="1"/>
    <col min="7" max="7" width="8.85546875" style="1" customWidth="1"/>
    <col min="8" max="10" width="9" style="1" bestFit="1" customWidth="1"/>
    <col min="11" max="12" width="8.7109375" style="1" customWidth="1"/>
    <col min="13" max="19" width="9" style="1" bestFit="1" customWidth="1"/>
    <col min="20" max="20" width="9" style="1" customWidth="1"/>
    <col min="21" max="21" width="9.5703125" style="1" customWidth="1"/>
    <col min="22" max="22" width="9" style="1" bestFit="1" customWidth="1"/>
    <col min="23" max="23" width="8.7109375" style="1" customWidth="1"/>
    <col min="24" max="25" width="9.140625" style="1" customWidth="1"/>
    <col min="26" max="26" width="8.7109375" style="1" customWidth="1"/>
    <col min="27" max="30" width="9" style="1" bestFit="1" customWidth="1"/>
    <col min="31" max="31" width="8.7109375" style="1" customWidth="1"/>
    <col min="32" max="32" width="9" style="1" bestFit="1" customWidth="1"/>
    <col min="33" max="33" width="9.28515625" style="1" customWidth="1"/>
    <col min="34" max="34" width="8.7109375" style="1" customWidth="1"/>
    <col min="35" max="35" width="9.5703125" style="1" customWidth="1"/>
    <col min="36" max="37" width="9" style="1" bestFit="1" customWidth="1"/>
    <col min="38" max="16384" width="16.85546875" style="1"/>
  </cols>
  <sheetData>
    <row r="1" spans="1:43" customFormat="1" ht="23.45" customHeight="1" x14ac:dyDescent="0.25">
      <c r="E1" s="64" t="s">
        <v>29</v>
      </c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</row>
    <row r="2" spans="1:43" customFormat="1" ht="15" x14ac:dyDescent="0.25">
      <c r="E2" s="65" t="s">
        <v>30</v>
      </c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7"/>
    </row>
    <row r="3" spans="1:43" customFormat="1" ht="15.75" x14ac:dyDescent="0.25">
      <c r="E3" s="68" t="s">
        <v>0</v>
      </c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</row>
    <row r="4" spans="1:43" customFormat="1" ht="15" x14ac:dyDescent="0.25">
      <c r="E4" s="69" t="s">
        <v>1</v>
      </c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</row>
    <row r="5" spans="1:43" customFormat="1" ht="15.75" x14ac:dyDescent="0.25">
      <c r="E5" s="59" t="s">
        <v>2</v>
      </c>
      <c r="F5" s="59"/>
      <c r="G5" s="59"/>
      <c r="H5" s="70" t="s">
        <v>3</v>
      </c>
      <c r="I5" s="71"/>
      <c r="J5" s="72"/>
      <c r="K5" s="61" t="s">
        <v>4</v>
      </c>
      <c r="L5" s="61"/>
      <c r="M5" s="11">
        <v>0</v>
      </c>
      <c r="N5" s="73" t="s">
        <v>5</v>
      </c>
      <c r="O5" s="73"/>
      <c r="P5" s="74"/>
      <c r="Q5" s="75"/>
    </row>
    <row r="6" spans="1:43" customFormat="1" ht="15.75" x14ac:dyDescent="0.25">
      <c r="E6" s="59" t="s">
        <v>6</v>
      </c>
      <c r="F6" s="59"/>
      <c r="G6" s="59"/>
      <c r="H6" s="60" t="s">
        <v>7</v>
      </c>
      <c r="I6" s="60"/>
      <c r="J6" s="60"/>
      <c r="K6" s="61" t="s">
        <v>8</v>
      </c>
      <c r="L6" s="61"/>
      <c r="M6" s="62" t="s">
        <v>9</v>
      </c>
      <c r="N6" s="62"/>
      <c r="O6" s="62"/>
      <c r="P6" s="62"/>
      <c r="Q6" s="62"/>
    </row>
    <row r="7" spans="1:43" customFormat="1" ht="15.75" x14ac:dyDescent="0.25">
      <c r="E7" s="61" t="s">
        <v>10</v>
      </c>
      <c r="F7" s="61"/>
      <c r="G7" s="61"/>
      <c r="H7" s="63"/>
      <c r="I7" s="63"/>
      <c r="J7" s="63"/>
      <c r="K7" s="61" t="s">
        <v>11</v>
      </c>
      <c r="L7" s="61"/>
      <c r="M7" s="62"/>
      <c r="N7" s="62"/>
      <c r="O7" s="62"/>
      <c r="P7" s="62"/>
      <c r="Q7" s="62"/>
    </row>
    <row r="8" spans="1:43" customFormat="1" ht="15" x14ac:dyDescent="0.25"/>
    <row r="9" spans="1:43" customFormat="1" ht="15" x14ac:dyDescent="0.25">
      <c r="A9" t="s">
        <v>12</v>
      </c>
    </row>
    <row r="10" spans="1:43" customFormat="1" ht="26.25" x14ac:dyDescent="0.25">
      <c r="A10" s="24" t="s">
        <v>13</v>
      </c>
      <c r="B10" s="4" t="s">
        <v>14</v>
      </c>
      <c r="C10" s="4" t="s">
        <v>15</v>
      </c>
      <c r="D10" s="4" t="s">
        <v>16</v>
      </c>
      <c r="E10" s="5" t="s">
        <v>17</v>
      </c>
      <c r="F10" s="12" t="s">
        <v>112</v>
      </c>
      <c r="G10" s="33">
        <v>46023</v>
      </c>
      <c r="H10" s="33">
        <v>46024</v>
      </c>
      <c r="I10" s="33">
        <v>46025</v>
      </c>
      <c r="J10" s="33">
        <v>46026</v>
      </c>
      <c r="K10" s="33">
        <v>46027</v>
      </c>
      <c r="L10" s="33">
        <v>46028</v>
      </c>
      <c r="M10" s="33">
        <v>46029</v>
      </c>
      <c r="N10" s="33">
        <v>46030</v>
      </c>
      <c r="O10" s="33">
        <v>46031</v>
      </c>
      <c r="P10" s="33">
        <v>46032</v>
      </c>
      <c r="Q10" s="33">
        <v>46033</v>
      </c>
      <c r="R10" s="33">
        <v>46034</v>
      </c>
      <c r="S10" s="33">
        <v>46035</v>
      </c>
      <c r="T10" s="33">
        <v>46036</v>
      </c>
      <c r="U10" s="33">
        <v>46037</v>
      </c>
      <c r="V10" s="33">
        <v>46038</v>
      </c>
      <c r="W10" s="33">
        <v>46039</v>
      </c>
      <c r="X10" s="33">
        <v>46040</v>
      </c>
      <c r="Y10" s="33">
        <v>46041</v>
      </c>
      <c r="Z10" s="33">
        <v>46042</v>
      </c>
      <c r="AA10" s="33">
        <v>46043</v>
      </c>
      <c r="AB10" s="33">
        <v>46044</v>
      </c>
      <c r="AC10" s="33">
        <v>46045</v>
      </c>
      <c r="AD10" s="33">
        <v>46046</v>
      </c>
      <c r="AE10" s="33">
        <v>46047</v>
      </c>
      <c r="AF10" s="33">
        <v>46048</v>
      </c>
      <c r="AG10" s="33">
        <v>46049</v>
      </c>
      <c r="AH10" s="33">
        <v>46050</v>
      </c>
      <c r="AI10" s="33">
        <v>46051</v>
      </c>
      <c r="AJ10" s="33">
        <v>46052</v>
      </c>
      <c r="AK10" s="33">
        <v>46053</v>
      </c>
      <c r="AL10" s="12" t="s">
        <v>114</v>
      </c>
      <c r="AM10" s="3" t="s">
        <v>18</v>
      </c>
      <c r="AN10" s="3" t="s">
        <v>19</v>
      </c>
      <c r="AO10" s="3" t="s">
        <v>20</v>
      </c>
      <c r="AP10" s="14"/>
      <c r="AQ10" s="15"/>
    </row>
    <row r="11" spans="1:43" customFormat="1" ht="15" x14ac:dyDescent="0.25">
      <c r="A11" s="11" t="s">
        <v>97</v>
      </c>
      <c r="B11" s="20" t="s">
        <v>31</v>
      </c>
      <c r="C11" s="20" t="s">
        <v>32</v>
      </c>
      <c r="D11" s="11"/>
      <c r="E11" s="11"/>
      <c r="F11" s="34">
        <v>2732</v>
      </c>
      <c r="G11" s="25"/>
      <c r="H11" s="25"/>
      <c r="I11" s="25"/>
      <c r="J11" s="25"/>
      <c r="K11" s="25"/>
      <c r="L11" s="25">
        <v>-552</v>
      </c>
      <c r="M11" s="25"/>
      <c r="N11" s="25"/>
      <c r="O11" s="25"/>
      <c r="P11" s="25"/>
      <c r="Q11" s="25"/>
      <c r="R11" s="25"/>
      <c r="S11" s="25">
        <f>-96+-15</f>
        <v>-111</v>
      </c>
      <c r="T11" s="25"/>
      <c r="U11" s="25"/>
      <c r="V11" s="25"/>
      <c r="W11" s="25"/>
      <c r="X11" s="25"/>
      <c r="Y11" s="25"/>
      <c r="Z11" s="25"/>
      <c r="AA11" s="25"/>
      <c r="AB11" s="25">
        <v>-96</v>
      </c>
      <c r="AC11" s="25">
        <v>-160</v>
      </c>
      <c r="AD11" s="25"/>
      <c r="AE11" s="25"/>
      <c r="AF11" s="25"/>
      <c r="AG11" s="25"/>
      <c r="AH11" s="25"/>
      <c r="AI11" s="25"/>
      <c r="AJ11" s="25"/>
      <c r="AK11" s="25"/>
      <c r="AL11" s="35">
        <f>F11+SUM(G11:AK11)</f>
        <v>1813</v>
      </c>
    </row>
    <row r="12" spans="1:43" customFormat="1" ht="15" x14ac:dyDescent="0.25">
      <c r="A12" s="11" t="s">
        <v>98</v>
      </c>
      <c r="B12" s="20" t="s">
        <v>33</v>
      </c>
      <c r="C12" s="20" t="s">
        <v>34</v>
      </c>
      <c r="D12" s="11"/>
      <c r="E12" s="11"/>
      <c r="F12" s="34">
        <v>642</v>
      </c>
      <c r="G12" s="25"/>
      <c r="H12" s="25">
        <v>-12</v>
      </c>
      <c r="I12" s="25">
        <v>-1</v>
      </c>
      <c r="J12" s="25"/>
      <c r="K12" s="25"/>
      <c r="L12" s="25"/>
      <c r="M12" s="25">
        <v>-50</v>
      </c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35">
        <f>F12+SUM(G12:AK12)</f>
        <v>579</v>
      </c>
    </row>
    <row r="13" spans="1:43" customFormat="1" ht="15" x14ac:dyDescent="0.25">
      <c r="A13" s="11" t="s">
        <v>98</v>
      </c>
      <c r="B13" s="20" t="s">
        <v>35</v>
      </c>
      <c r="C13" s="20" t="s">
        <v>36</v>
      </c>
      <c r="D13" s="11"/>
      <c r="E13" s="11"/>
      <c r="F13" s="34">
        <v>269</v>
      </c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35">
        <f t="shared" ref="AL13:AL49" si="0">F13+SUM(G13:AK13)</f>
        <v>269</v>
      </c>
    </row>
    <row r="14" spans="1:43" customFormat="1" ht="15" x14ac:dyDescent="0.25">
      <c r="A14" s="11" t="s">
        <v>97</v>
      </c>
      <c r="B14" s="20" t="s">
        <v>37</v>
      </c>
      <c r="C14" s="20" t="s">
        <v>38</v>
      </c>
      <c r="D14" s="11"/>
      <c r="E14" s="11"/>
      <c r="F14" s="34">
        <v>3928</v>
      </c>
      <c r="G14" s="25"/>
      <c r="H14" s="25">
        <v>-48</v>
      </c>
      <c r="I14" s="25"/>
      <c r="J14" s="25"/>
      <c r="K14" s="25"/>
      <c r="L14" s="25">
        <v>-552</v>
      </c>
      <c r="M14" s="25"/>
      <c r="N14" s="25">
        <v>-148</v>
      </c>
      <c r="O14" s="25"/>
      <c r="P14" s="25"/>
      <c r="Q14" s="25"/>
      <c r="R14" s="25"/>
      <c r="S14" s="25">
        <f>-96+-48</f>
        <v>-144</v>
      </c>
      <c r="T14" s="25"/>
      <c r="U14" s="25"/>
      <c r="V14" s="25">
        <v>-56</v>
      </c>
      <c r="W14" s="25"/>
      <c r="X14" s="25"/>
      <c r="Y14" s="25"/>
      <c r="Z14" s="25"/>
      <c r="AA14" s="25"/>
      <c r="AB14" s="25">
        <f>-52+-96</f>
        <v>-148</v>
      </c>
      <c r="AC14" s="25">
        <f>-160+-80</f>
        <v>-240</v>
      </c>
      <c r="AD14" s="25"/>
      <c r="AE14" s="25"/>
      <c r="AF14" s="25"/>
      <c r="AG14" s="25"/>
      <c r="AH14" s="25"/>
      <c r="AI14" s="25"/>
      <c r="AJ14" s="25">
        <v>-28</v>
      </c>
      <c r="AK14" s="25"/>
      <c r="AL14" s="35">
        <f t="shared" si="0"/>
        <v>2564</v>
      </c>
    </row>
    <row r="15" spans="1:43" customFormat="1" ht="15" x14ac:dyDescent="0.25">
      <c r="A15" s="11" t="s">
        <v>98</v>
      </c>
      <c r="B15" s="20" t="s">
        <v>39</v>
      </c>
      <c r="C15" s="20" t="s">
        <v>40</v>
      </c>
      <c r="D15" s="11"/>
      <c r="E15" s="11"/>
      <c r="F15" s="34">
        <v>1235</v>
      </c>
      <c r="G15" s="25"/>
      <c r="H15" s="25"/>
      <c r="I15" s="25"/>
      <c r="J15" s="25"/>
      <c r="K15" s="25"/>
      <c r="L15" s="25">
        <v>-69</v>
      </c>
      <c r="M15" s="25">
        <v>-50</v>
      </c>
      <c r="N15" s="25">
        <v>-37</v>
      </c>
      <c r="O15" s="25">
        <v>-1</v>
      </c>
      <c r="P15" s="25"/>
      <c r="Q15" s="25"/>
      <c r="R15" s="25"/>
      <c r="S15" s="25">
        <f>-12+-12</f>
        <v>-24</v>
      </c>
      <c r="T15" s="25"/>
      <c r="U15" s="25"/>
      <c r="V15" s="25">
        <f>-13+-14</f>
        <v>-27</v>
      </c>
      <c r="W15" s="25">
        <f>-1+-1+-1</f>
        <v>-3</v>
      </c>
      <c r="X15" s="25"/>
      <c r="Y15" s="25"/>
      <c r="Z15" s="25"/>
      <c r="AA15" s="25">
        <v>-5</v>
      </c>
      <c r="AB15" s="25">
        <f>-1+-13+-12</f>
        <v>-26</v>
      </c>
      <c r="AC15" s="25">
        <f>-20+-20+-25</f>
        <v>-65</v>
      </c>
      <c r="AD15" s="25"/>
      <c r="AE15" s="25"/>
      <c r="AF15" s="25"/>
      <c r="AG15" s="25"/>
      <c r="AH15" s="25"/>
      <c r="AI15" s="25"/>
      <c r="AJ15" s="25">
        <v>-7</v>
      </c>
      <c r="AK15" s="25"/>
      <c r="AL15" s="35">
        <f t="shared" si="0"/>
        <v>921</v>
      </c>
    </row>
    <row r="16" spans="1:43" customFormat="1" ht="15" x14ac:dyDescent="0.25">
      <c r="A16" s="11" t="s">
        <v>97</v>
      </c>
      <c r="B16" s="20" t="s">
        <v>41</v>
      </c>
      <c r="C16" s="20" t="s">
        <v>42</v>
      </c>
      <c r="D16" s="11"/>
      <c r="E16" s="11"/>
      <c r="F16" s="34">
        <v>340</v>
      </c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32">
        <v>1000</v>
      </c>
      <c r="AL16" s="35">
        <f t="shared" si="0"/>
        <v>1340</v>
      </c>
    </row>
    <row r="17" spans="1:38" customFormat="1" ht="15" x14ac:dyDescent="0.25">
      <c r="A17" s="11" t="s">
        <v>97</v>
      </c>
      <c r="B17" s="20" t="s">
        <v>43</v>
      </c>
      <c r="C17" s="20" t="s">
        <v>44</v>
      </c>
      <c r="D17" s="11"/>
      <c r="E17" s="11"/>
      <c r="F17" s="34">
        <v>277</v>
      </c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>
        <v>-45</v>
      </c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35">
        <f t="shared" si="0"/>
        <v>232</v>
      </c>
    </row>
    <row r="18" spans="1:38" customFormat="1" ht="15" x14ac:dyDescent="0.25">
      <c r="A18" s="11" t="s">
        <v>97</v>
      </c>
      <c r="B18" s="20" t="s">
        <v>45</v>
      </c>
      <c r="C18" s="20" t="s">
        <v>46</v>
      </c>
      <c r="D18" s="11"/>
      <c r="E18" s="11"/>
      <c r="F18" s="34">
        <v>2143</v>
      </c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35">
        <f t="shared" si="0"/>
        <v>2143</v>
      </c>
    </row>
    <row r="19" spans="1:38" customFormat="1" ht="15" x14ac:dyDescent="0.25">
      <c r="A19" s="11" t="s">
        <v>99</v>
      </c>
      <c r="B19" s="20" t="s">
        <v>47</v>
      </c>
      <c r="C19" s="20" t="s">
        <v>48</v>
      </c>
      <c r="D19" s="11"/>
      <c r="E19" s="11"/>
      <c r="F19" s="34">
        <v>258</v>
      </c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35">
        <f t="shared" si="0"/>
        <v>258</v>
      </c>
    </row>
    <row r="20" spans="1:38" customFormat="1" ht="15" x14ac:dyDescent="0.25">
      <c r="A20" s="11" t="s">
        <v>99</v>
      </c>
      <c r="B20" s="20" t="s">
        <v>49</v>
      </c>
      <c r="C20" s="20" t="s">
        <v>50</v>
      </c>
      <c r="D20" s="11"/>
      <c r="E20" s="11"/>
      <c r="F20" s="34">
        <v>1027</v>
      </c>
      <c r="G20" s="25"/>
      <c r="H20" s="25">
        <f>-12+-108</f>
        <v>-120</v>
      </c>
      <c r="I20" s="25"/>
      <c r="J20" s="25"/>
      <c r="K20" s="25"/>
      <c r="L20" s="25"/>
      <c r="M20" s="25">
        <v>-80</v>
      </c>
      <c r="N20" s="25">
        <v>-37</v>
      </c>
      <c r="O20" s="25">
        <v>-6</v>
      </c>
      <c r="P20" s="25"/>
      <c r="Q20" s="25"/>
      <c r="R20" s="25"/>
      <c r="S20" s="25">
        <v>-12</v>
      </c>
      <c r="T20" s="25"/>
      <c r="U20" s="25"/>
      <c r="V20" s="25">
        <v>-14</v>
      </c>
      <c r="W20" s="25"/>
      <c r="X20" s="25"/>
      <c r="Y20" s="25"/>
      <c r="Z20" s="25"/>
      <c r="AA20" s="25"/>
      <c r="AB20" s="25">
        <v>-13</v>
      </c>
      <c r="AC20" s="25">
        <v>-20</v>
      </c>
      <c r="AD20" s="25"/>
      <c r="AE20" s="25"/>
      <c r="AF20" s="25"/>
      <c r="AG20" s="25"/>
      <c r="AH20" s="25">
        <v>-5</v>
      </c>
      <c r="AI20" s="25"/>
      <c r="AJ20" s="25">
        <v>-7</v>
      </c>
      <c r="AK20" s="25"/>
      <c r="AL20" s="35">
        <f t="shared" si="0"/>
        <v>713</v>
      </c>
    </row>
    <row r="21" spans="1:38" customFormat="1" ht="15" x14ac:dyDescent="0.25">
      <c r="A21" s="11" t="s">
        <v>100</v>
      </c>
      <c r="B21" s="20" t="s">
        <v>51</v>
      </c>
      <c r="C21" s="20" t="s">
        <v>52</v>
      </c>
      <c r="D21" s="11"/>
      <c r="E21" s="11"/>
      <c r="F21" s="34">
        <v>94</v>
      </c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35">
        <f t="shared" si="0"/>
        <v>94</v>
      </c>
    </row>
    <row r="22" spans="1:38" customFormat="1" ht="15" x14ac:dyDescent="0.25">
      <c r="A22" s="11" t="s">
        <v>100</v>
      </c>
      <c r="B22" s="20" t="s">
        <v>53</v>
      </c>
      <c r="C22" s="20" t="s">
        <v>54</v>
      </c>
      <c r="D22" s="11"/>
      <c r="E22" s="11"/>
      <c r="F22" s="34">
        <v>54</v>
      </c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35">
        <f t="shared" si="0"/>
        <v>54</v>
      </c>
    </row>
    <row r="23" spans="1:38" customFormat="1" ht="15" x14ac:dyDescent="0.25">
      <c r="A23" s="11" t="s">
        <v>100</v>
      </c>
      <c r="B23" s="20" t="s">
        <v>55</v>
      </c>
      <c r="C23" s="20" t="s">
        <v>56</v>
      </c>
      <c r="D23" s="11"/>
      <c r="E23" s="11"/>
      <c r="F23" s="34">
        <v>16</v>
      </c>
      <c r="G23" s="25"/>
      <c r="H23" s="25"/>
      <c r="I23" s="25"/>
      <c r="J23" s="25"/>
      <c r="K23" s="25"/>
      <c r="L23" s="25"/>
      <c r="M23" s="32">
        <v>300</v>
      </c>
      <c r="N23" s="25">
        <v>-37</v>
      </c>
      <c r="O23" s="25"/>
      <c r="P23" s="25"/>
      <c r="Q23" s="25"/>
      <c r="R23" s="25"/>
      <c r="S23" s="25">
        <v>-12</v>
      </c>
      <c r="T23" s="25"/>
      <c r="U23" s="25"/>
      <c r="V23" s="25">
        <v>-14</v>
      </c>
      <c r="W23" s="25"/>
      <c r="X23" s="25"/>
      <c r="Y23" s="25"/>
      <c r="Z23" s="25"/>
      <c r="AA23" s="25"/>
      <c r="AB23" s="25">
        <v>-13</v>
      </c>
      <c r="AC23" s="25">
        <v>-20</v>
      </c>
      <c r="AD23" s="25"/>
      <c r="AE23" s="25"/>
      <c r="AF23" s="25"/>
      <c r="AG23" s="25"/>
      <c r="AH23" s="25">
        <v>-5</v>
      </c>
      <c r="AI23" s="25"/>
      <c r="AJ23" s="25">
        <v>-7</v>
      </c>
      <c r="AK23" s="25"/>
      <c r="AL23" s="35">
        <f t="shared" si="0"/>
        <v>208</v>
      </c>
    </row>
    <row r="24" spans="1:38" customFormat="1" ht="15" x14ac:dyDescent="0.25">
      <c r="A24" s="11" t="s">
        <v>99</v>
      </c>
      <c r="B24" s="20" t="s">
        <v>57</v>
      </c>
      <c r="C24" s="20" t="s">
        <v>58</v>
      </c>
      <c r="D24" s="11"/>
      <c r="E24" s="11"/>
      <c r="F24" s="34">
        <v>807</v>
      </c>
      <c r="G24" s="25"/>
      <c r="H24" s="25"/>
      <c r="I24" s="25">
        <v>-80</v>
      </c>
      <c r="J24" s="25"/>
      <c r="K24" s="25"/>
      <c r="L24" s="25">
        <f>-87+-73</f>
        <v>-160</v>
      </c>
      <c r="M24" s="25">
        <v>-20</v>
      </c>
      <c r="N24" s="25"/>
      <c r="O24" s="25">
        <f>-24+-24</f>
        <v>-48</v>
      </c>
      <c r="P24" s="25"/>
      <c r="Q24" s="25"/>
      <c r="R24" s="25"/>
      <c r="S24" s="25">
        <v>-36</v>
      </c>
      <c r="T24" s="25"/>
      <c r="U24" s="25"/>
      <c r="V24" s="25"/>
      <c r="W24" s="25">
        <v>-50</v>
      </c>
      <c r="X24" s="25"/>
      <c r="Y24" s="25"/>
      <c r="Z24" s="25"/>
      <c r="AA24" s="25">
        <f>-6+-40</f>
        <v>-46</v>
      </c>
      <c r="AB24" s="25"/>
      <c r="AC24" s="25">
        <v>-20</v>
      </c>
      <c r="AD24" s="25"/>
      <c r="AE24" s="25"/>
      <c r="AF24" s="25"/>
      <c r="AG24" s="25"/>
      <c r="AH24" s="25">
        <v>-22</v>
      </c>
      <c r="AI24" s="25">
        <f>-112+-58</f>
        <v>-170</v>
      </c>
      <c r="AJ24" s="25">
        <v>-77</v>
      </c>
      <c r="AK24" s="32">
        <f>400+100</f>
        <v>500</v>
      </c>
      <c r="AL24" s="35">
        <f t="shared" si="0"/>
        <v>578</v>
      </c>
    </row>
    <row r="25" spans="1:38" customFormat="1" ht="15" x14ac:dyDescent="0.25">
      <c r="A25" s="11" t="s">
        <v>99</v>
      </c>
      <c r="B25" s="20" t="s">
        <v>59</v>
      </c>
      <c r="C25" s="20" t="s">
        <v>60</v>
      </c>
      <c r="D25" s="11"/>
      <c r="E25" s="11"/>
      <c r="F25" s="34">
        <v>5</v>
      </c>
      <c r="G25" s="25"/>
      <c r="H25" s="25"/>
      <c r="I25" s="25">
        <v>-1</v>
      </c>
      <c r="J25" s="25"/>
      <c r="K25" s="25"/>
      <c r="L25" s="25"/>
      <c r="M25" s="25"/>
      <c r="N25" s="25"/>
      <c r="O25" s="25">
        <v>-1</v>
      </c>
      <c r="P25" s="25"/>
      <c r="Q25" s="25"/>
      <c r="R25" s="25"/>
      <c r="S25" s="25"/>
      <c r="T25" s="25"/>
      <c r="U25" s="25"/>
      <c r="V25" s="25">
        <v>-5</v>
      </c>
      <c r="W25" s="25"/>
      <c r="X25" s="25"/>
      <c r="Y25" s="25"/>
      <c r="Z25" s="32">
        <v>100</v>
      </c>
      <c r="AA25" s="25">
        <v>-5</v>
      </c>
      <c r="AB25" s="25">
        <v>-1</v>
      </c>
      <c r="AC25" s="25">
        <v>-25</v>
      </c>
      <c r="AD25" s="25"/>
      <c r="AE25" s="25"/>
      <c r="AF25" s="25"/>
      <c r="AG25" s="25"/>
      <c r="AH25" s="25">
        <v>-6</v>
      </c>
      <c r="AI25" s="25"/>
      <c r="AJ25" s="25"/>
      <c r="AK25" s="25"/>
      <c r="AL25" s="35">
        <f t="shared" si="0"/>
        <v>61</v>
      </c>
    </row>
    <row r="26" spans="1:38" customFormat="1" ht="15" x14ac:dyDescent="0.25">
      <c r="A26" s="11" t="s">
        <v>100</v>
      </c>
      <c r="B26" s="20" t="s">
        <v>61</v>
      </c>
      <c r="C26" s="20" t="s">
        <v>62</v>
      </c>
      <c r="D26" s="11"/>
      <c r="E26" s="11"/>
      <c r="F26" s="34">
        <v>991</v>
      </c>
      <c r="G26" s="25"/>
      <c r="H26" s="25"/>
      <c r="I26" s="25"/>
      <c r="J26" s="25"/>
      <c r="K26" s="25"/>
      <c r="L26" s="25"/>
      <c r="M26" s="25">
        <v>-100</v>
      </c>
      <c r="N26" s="25"/>
      <c r="O26" s="25">
        <f>-24+-24</f>
        <v>-48</v>
      </c>
      <c r="P26" s="25"/>
      <c r="Q26" s="25"/>
      <c r="R26" s="25"/>
      <c r="S26" s="25">
        <v>-36</v>
      </c>
      <c r="T26" s="25"/>
      <c r="U26" s="25"/>
      <c r="V26" s="25"/>
      <c r="W26" s="25"/>
      <c r="X26" s="25"/>
      <c r="Y26" s="25"/>
      <c r="Z26" s="25"/>
      <c r="AA26" s="25">
        <v>-40</v>
      </c>
      <c r="AB26" s="25"/>
      <c r="AC26" s="25"/>
      <c r="AD26" s="25"/>
      <c r="AE26" s="25"/>
      <c r="AF26" s="25"/>
      <c r="AG26" s="25"/>
      <c r="AH26" s="25"/>
      <c r="AI26" s="25">
        <f>-112+-78</f>
        <v>-190</v>
      </c>
      <c r="AJ26" s="25">
        <f>-276+-14</f>
        <v>-290</v>
      </c>
      <c r="AK26" s="25"/>
      <c r="AL26" s="35">
        <f t="shared" si="0"/>
        <v>287</v>
      </c>
    </row>
    <row r="27" spans="1:38" customFormat="1" ht="15" x14ac:dyDescent="0.25">
      <c r="A27" s="11" t="s">
        <v>100</v>
      </c>
      <c r="B27" s="20" t="s">
        <v>63</v>
      </c>
      <c r="C27" s="20" t="s">
        <v>64</v>
      </c>
      <c r="D27" s="11"/>
      <c r="E27" s="11"/>
      <c r="F27" s="34">
        <v>264</v>
      </c>
      <c r="G27" s="25"/>
      <c r="H27" s="25">
        <v>-8</v>
      </c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>
        <v>-6</v>
      </c>
      <c r="AI27" s="25"/>
      <c r="AJ27" s="25"/>
      <c r="AK27" s="25"/>
      <c r="AL27" s="35">
        <f t="shared" si="0"/>
        <v>250</v>
      </c>
    </row>
    <row r="28" spans="1:38" customFormat="1" ht="15" x14ac:dyDescent="0.25">
      <c r="A28" s="11" t="s">
        <v>100</v>
      </c>
      <c r="B28" s="20" t="s">
        <v>65</v>
      </c>
      <c r="C28" s="20" t="s">
        <v>66</v>
      </c>
      <c r="D28" s="11"/>
      <c r="E28" s="11"/>
      <c r="F28" s="34">
        <v>86</v>
      </c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35">
        <f t="shared" si="0"/>
        <v>86</v>
      </c>
    </row>
    <row r="29" spans="1:38" customFormat="1" ht="15" x14ac:dyDescent="0.25">
      <c r="A29" s="11" t="s">
        <v>100</v>
      </c>
      <c r="B29" s="20" t="s">
        <v>67</v>
      </c>
      <c r="C29" s="20" t="s">
        <v>68</v>
      </c>
      <c r="D29" s="11"/>
      <c r="E29" s="11"/>
      <c r="F29" s="34">
        <v>34</v>
      </c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35">
        <f t="shared" si="0"/>
        <v>34</v>
      </c>
    </row>
    <row r="30" spans="1:38" customFormat="1" ht="15" x14ac:dyDescent="0.25">
      <c r="A30" s="11" t="s">
        <v>99</v>
      </c>
      <c r="B30" s="20" t="s">
        <v>69</v>
      </c>
      <c r="C30" s="20" t="s">
        <v>70</v>
      </c>
      <c r="D30" s="11"/>
      <c r="E30" s="11"/>
      <c r="F30" s="34">
        <v>454</v>
      </c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>
        <v>-10</v>
      </c>
      <c r="AB30" s="25"/>
      <c r="AC30" s="25"/>
      <c r="AD30" s="25"/>
      <c r="AE30" s="25"/>
      <c r="AF30" s="25"/>
      <c r="AG30" s="25"/>
      <c r="AH30" s="25"/>
      <c r="AI30" s="25">
        <v>-56</v>
      </c>
      <c r="AJ30" s="25"/>
      <c r="AK30" s="25"/>
      <c r="AL30" s="35">
        <f t="shared" si="0"/>
        <v>388</v>
      </c>
    </row>
    <row r="31" spans="1:38" customFormat="1" ht="15" x14ac:dyDescent="0.25">
      <c r="A31" s="11" t="s">
        <v>99</v>
      </c>
      <c r="B31" s="20" t="s">
        <v>71</v>
      </c>
      <c r="C31" s="20" t="s">
        <v>72</v>
      </c>
      <c r="D31" s="11"/>
      <c r="E31" s="11"/>
      <c r="F31" s="34">
        <v>246</v>
      </c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35">
        <f t="shared" si="0"/>
        <v>246</v>
      </c>
    </row>
    <row r="32" spans="1:38" customFormat="1" ht="15" x14ac:dyDescent="0.25">
      <c r="A32" s="11" t="s">
        <v>100</v>
      </c>
      <c r="B32" s="20" t="s">
        <v>73</v>
      </c>
      <c r="C32" s="20" t="s">
        <v>74</v>
      </c>
      <c r="D32" s="11"/>
      <c r="E32" s="11"/>
      <c r="F32" s="34">
        <v>169</v>
      </c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>
        <v>-10</v>
      </c>
      <c r="S32" s="25"/>
      <c r="T32" s="25"/>
      <c r="U32" s="25"/>
      <c r="V32" s="25"/>
      <c r="W32" s="25"/>
      <c r="X32" s="25"/>
      <c r="Y32" s="25"/>
      <c r="Z32" s="32">
        <v>60</v>
      </c>
      <c r="AA32" s="32">
        <v>50</v>
      </c>
      <c r="AB32" s="25">
        <v>-10</v>
      </c>
      <c r="AC32" s="25"/>
      <c r="AD32" s="25"/>
      <c r="AE32" s="25"/>
      <c r="AF32" s="25"/>
      <c r="AG32" s="25"/>
      <c r="AH32" s="25"/>
      <c r="AI32" s="25">
        <v>-56</v>
      </c>
      <c r="AJ32" s="25"/>
      <c r="AK32" s="25"/>
      <c r="AL32" s="35">
        <f t="shared" si="0"/>
        <v>203</v>
      </c>
    </row>
    <row r="33" spans="1:38" customFormat="1" ht="15" x14ac:dyDescent="0.25">
      <c r="A33" s="11" t="s">
        <v>100</v>
      </c>
      <c r="B33" s="20" t="s">
        <v>75</v>
      </c>
      <c r="C33" s="20" t="s">
        <v>76</v>
      </c>
      <c r="D33" s="11"/>
      <c r="E33" s="11"/>
      <c r="F33" s="34">
        <v>149</v>
      </c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35">
        <f t="shared" si="0"/>
        <v>149</v>
      </c>
    </row>
    <row r="34" spans="1:38" customFormat="1" ht="15" x14ac:dyDescent="0.25">
      <c r="A34" s="11" t="s">
        <v>99</v>
      </c>
      <c r="B34" s="20" t="s">
        <v>77</v>
      </c>
      <c r="C34" s="20" t="s">
        <v>78</v>
      </c>
      <c r="D34" s="11"/>
      <c r="E34" s="11"/>
      <c r="F34" s="34">
        <v>38</v>
      </c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35">
        <f t="shared" si="0"/>
        <v>38</v>
      </c>
    </row>
    <row r="35" spans="1:38" customFormat="1" ht="15" x14ac:dyDescent="0.25">
      <c r="A35" s="11" t="s">
        <v>100</v>
      </c>
      <c r="B35" s="20" t="s">
        <v>79</v>
      </c>
      <c r="C35" s="20" t="s">
        <v>80</v>
      </c>
      <c r="D35" s="11"/>
      <c r="E35" s="11"/>
      <c r="F35" s="34">
        <v>8</v>
      </c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35">
        <f t="shared" si="0"/>
        <v>8</v>
      </c>
    </row>
    <row r="36" spans="1:38" customFormat="1" ht="15" x14ac:dyDescent="0.25">
      <c r="A36" s="11" t="s">
        <v>99</v>
      </c>
      <c r="B36" s="20" t="s">
        <v>81</v>
      </c>
      <c r="C36" s="20" t="s">
        <v>82</v>
      </c>
      <c r="D36" s="11"/>
      <c r="E36" s="11"/>
      <c r="F36" s="34">
        <v>150</v>
      </c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35">
        <f t="shared" si="0"/>
        <v>150</v>
      </c>
    </row>
    <row r="37" spans="1:38" customFormat="1" ht="15" x14ac:dyDescent="0.25">
      <c r="A37" s="11" t="s">
        <v>100</v>
      </c>
      <c r="B37" s="20" t="s">
        <v>83</v>
      </c>
      <c r="C37" s="20" t="s">
        <v>84</v>
      </c>
      <c r="D37" s="11"/>
      <c r="E37" s="11"/>
      <c r="F37" s="34">
        <v>150</v>
      </c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35">
        <f t="shared" si="0"/>
        <v>150</v>
      </c>
    </row>
    <row r="38" spans="1:38" customFormat="1" ht="15" x14ac:dyDescent="0.25">
      <c r="A38" s="11" t="s">
        <v>99</v>
      </c>
      <c r="B38" s="20" t="s">
        <v>85</v>
      </c>
      <c r="C38" s="20" t="s">
        <v>86</v>
      </c>
      <c r="D38" s="11"/>
      <c r="E38" s="11"/>
      <c r="F38" s="34">
        <v>62</v>
      </c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>
        <v>-5</v>
      </c>
      <c r="AI38" s="25"/>
      <c r="AJ38" s="25"/>
      <c r="AK38" s="25"/>
      <c r="AL38" s="35">
        <f t="shared" si="0"/>
        <v>57</v>
      </c>
    </row>
    <row r="39" spans="1:38" customFormat="1" ht="15" x14ac:dyDescent="0.25">
      <c r="A39" s="11" t="s">
        <v>100</v>
      </c>
      <c r="B39" s="20" t="s">
        <v>87</v>
      </c>
      <c r="C39" s="20" t="s">
        <v>88</v>
      </c>
      <c r="D39" s="11"/>
      <c r="E39" s="11"/>
      <c r="F39" s="34">
        <v>13</v>
      </c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>
        <v>-8</v>
      </c>
      <c r="AH39" s="25">
        <v>-5</v>
      </c>
      <c r="AI39" s="25"/>
      <c r="AJ39" s="25"/>
      <c r="AK39" s="25"/>
      <c r="AL39" s="35">
        <f t="shared" si="0"/>
        <v>0</v>
      </c>
    </row>
    <row r="40" spans="1:38" customFormat="1" ht="15" x14ac:dyDescent="0.25">
      <c r="A40" s="11" t="s">
        <v>101</v>
      </c>
      <c r="B40" s="20" t="s">
        <v>89</v>
      </c>
      <c r="C40" s="20" t="s">
        <v>90</v>
      </c>
      <c r="D40" s="11"/>
      <c r="E40" s="11"/>
      <c r="F40" s="34">
        <v>5</v>
      </c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35">
        <f t="shared" si="0"/>
        <v>5</v>
      </c>
    </row>
    <row r="41" spans="1:38" customFormat="1" ht="15" x14ac:dyDescent="0.25">
      <c r="A41" s="11" t="s">
        <v>102</v>
      </c>
      <c r="B41" s="20" t="s">
        <v>91</v>
      </c>
      <c r="C41" s="20" t="s">
        <v>92</v>
      </c>
      <c r="D41" s="11"/>
      <c r="E41" s="11"/>
      <c r="F41" s="34">
        <v>55</v>
      </c>
      <c r="G41" s="25"/>
      <c r="H41" s="25"/>
      <c r="I41" s="25">
        <v>-1</v>
      </c>
      <c r="J41" s="25"/>
      <c r="K41" s="25"/>
      <c r="L41" s="25"/>
      <c r="M41" s="25"/>
      <c r="N41" s="25"/>
      <c r="O41" s="25">
        <f>-1+-26</f>
        <v>-27</v>
      </c>
      <c r="P41" s="25"/>
      <c r="Q41" s="25"/>
      <c r="R41" s="25"/>
      <c r="S41" s="25"/>
      <c r="T41" s="25"/>
      <c r="U41" s="32">
        <v>100</v>
      </c>
      <c r="V41" s="25">
        <f>-13+-25</f>
        <v>-38</v>
      </c>
      <c r="W41" s="25">
        <f>-1+-1+-1</f>
        <v>-3</v>
      </c>
      <c r="X41" s="25"/>
      <c r="Y41" s="25"/>
      <c r="Z41" s="32">
        <v>15</v>
      </c>
      <c r="AA41" s="25">
        <v>-5</v>
      </c>
      <c r="AB41" s="25">
        <v>-1</v>
      </c>
      <c r="AC41" s="25">
        <v>-25</v>
      </c>
      <c r="AD41" s="25"/>
      <c r="AE41" s="25"/>
      <c r="AF41" s="25"/>
      <c r="AG41" s="25"/>
      <c r="AH41" s="25"/>
      <c r="AI41" s="25"/>
      <c r="AJ41" s="25"/>
      <c r="AK41" s="25"/>
      <c r="AL41" s="35">
        <f t="shared" si="0"/>
        <v>70</v>
      </c>
    </row>
    <row r="42" spans="1:38" customFormat="1" ht="15" x14ac:dyDescent="0.25">
      <c r="A42" s="11" t="s">
        <v>101</v>
      </c>
      <c r="B42" s="20" t="s">
        <v>93</v>
      </c>
      <c r="C42" s="20" t="s">
        <v>94</v>
      </c>
      <c r="D42" s="11"/>
      <c r="E42" s="11"/>
      <c r="F42" s="34">
        <v>62</v>
      </c>
      <c r="G42" s="25"/>
      <c r="H42" s="25"/>
      <c r="I42" s="25">
        <v>-1</v>
      </c>
      <c r="J42" s="25"/>
      <c r="K42" s="25"/>
      <c r="L42" s="25"/>
      <c r="M42" s="25"/>
      <c r="N42" s="25"/>
      <c r="O42" s="25">
        <v>-1</v>
      </c>
      <c r="P42" s="25"/>
      <c r="Q42" s="25"/>
      <c r="R42" s="25"/>
      <c r="S42" s="25"/>
      <c r="T42" s="25">
        <v>-2</v>
      </c>
      <c r="U42" s="32">
        <v>50</v>
      </c>
      <c r="V42" s="25">
        <v>-13</v>
      </c>
      <c r="W42" s="25">
        <f>-1+-1+-1</f>
        <v>-3</v>
      </c>
      <c r="X42" s="25"/>
      <c r="Y42" s="25"/>
      <c r="Z42" s="25">
        <f>-2+-1</f>
        <v>-3</v>
      </c>
      <c r="AA42" s="25">
        <v>-5</v>
      </c>
      <c r="AB42" s="25">
        <v>-1</v>
      </c>
      <c r="AC42" s="25">
        <v>-25</v>
      </c>
      <c r="AD42" s="25"/>
      <c r="AE42" s="25"/>
      <c r="AF42" s="25"/>
      <c r="AG42" s="25"/>
      <c r="AH42" s="25"/>
      <c r="AI42" s="25"/>
      <c r="AJ42" s="25"/>
      <c r="AK42" s="25"/>
      <c r="AL42" s="35">
        <f t="shared" si="0"/>
        <v>58</v>
      </c>
    </row>
    <row r="43" spans="1:38" customFormat="1" ht="15" x14ac:dyDescent="0.25">
      <c r="A43" s="20" t="s">
        <v>101</v>
      </c>
      <c r="B43" s="20" t="s">
        <v>95</v>
      </c>
      <c r="C43" s="20" t="s">
        <v>96</v>
      </c>
      <c r="D43" s="11"/>
      <c r="E43" s="11"/>
      <c r="F43" s="34">
        <v>0</v>
      </c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35">
        <f t="shared" si="0"/>
        <v>0</v>
      </c>
    </row>
    <row r="44" spans="1:38" customFormat="1" ht="15" x14ac:dyDescent="0.25">
      <c r="A44" s="31" t="s">
        <v>107</v>
      </c>
      <c r="B44" s="20" t="s">
        <v>103</v>
      </c>
      <c r="C44" s="20" t="s">
        <v>104</v>
      </c>
      <c r="D44" s="11"/>
      <c r="E44" s="11"/>
      <c r="F44" s="34">
        <v>245</v>
      </c>
      <c r="G44" s="25"/>
      <c r="H44" s="25"/>
      <c r="I44" s="25">
        <v>-80</v>
      </c>
      <c r="J44" s="25">
        <v>-21</v>
      </c>
      <c r="K44" s="25"/>
      <c r="L44" s="25">
        <f>-29+-73</f>
        <v>-102</v>
      </c>
      <c r="M44" s="25"/>
      <c r="N44" s="25"/>
      <c r="O44" s="25">
        <v>-6</v>
      </c>
      <c r="P44" s="25"/>
      <c r="Q44" s="25"/>
      <c r="R44" s="25">
        <v>-36</v>
      </c>
      <c r="S44" s="25"/>
      <c r="T44" s="25"/>
      <c r="U44" s="25"/>
      <c r="V44" s="25"/>
      <c r="W44" s="25"/>
      <c r="X44" s="32">
        <v>375</v>
      </c>
      <c r="Y44" s="25">
        <v>-20</v>
      </c>
      <c r="Z44" s="25"/>
      <c r="AA44" s="25">
        <v>-3</v>
      </c>
      <c r="AB44" s="25"/>
      <c r="AC44" s="25">
        <v>-20</v>
      </c>
      <c r="AD44" s="25"/>
      <c r="AE44" s="25"/>
      <c r="AF44" s="25"/>
      <c r="AG44" s="25"/>
      <c r="AH44" s="25">
        <v>-11</v>
      </c>
      <c r="AI44" s="25">
        <v>-6</v>
      </c>
      <c r="AJ44" s="25">
        <f>-69+-7</f>
        <v>-76</v>
      </c>
      <c r="AK44" s="25"/>
      <c r="AL44" s="35">
        <f t="shared" si="0"/>
        <v>239</v>
      </c>
    </row>
    <row r="45" spans="1:38" customFormat="1" ht="15" x14ac:dyDescent="0.25">
      <c r="A45" s="31" t="s">
        <v>107</v>
      </c>
      <c r="B45" s="20" t="s">
        <v>105</v>
      </c>
      <c r="C45" s="20" t="s">
        <v>106</v>
      </c>
      <c r="D45" s="11"/>
      <c r="E45" s="11"/>
      <c r="F45" s="34">
        <v>0</v>
      </c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35">
        <f t="shared" si="0"/>
        <v>0</v>
      </c>
    </row>
    <row r="46" spans="1:38" customFormat="1" ht="15" x14ac:dyDescent="0.25">
      <c r="A46" s="31" t="s">
        <v>100</v>
      </c>
      <c r="B46" s="20"/>
      <c r="C46" s="20" t="s">
        <v>108</v>
      </c>
      <c r="D46" s="11"/>
      <c r="E46" s="11"/>
      <c r="F46" s="34">
        <v>95</v>
      </c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35">
        <f t="shared" si="0"/>
        <v>95</v>
      </c>
    </row>
    <row r="47" spans="1:38" customFormat="1" ht="15" x14ac:dyDescent="0.25">
      <c r="A47" s="20" t="s">
        <v>101</v>
      </c>
      <c r="B47" s="20" t="s">
        <v>109</v>
      </c>
      <c r="C47" s="20" t="s">
        <v>110</v>
      </c>
      <c r="D47" s="11"/>
      <c r="E47" s="11"/>
      <c r="F47" s="34">
        <v>24</v>
      </c>
      <c r="G47" s="25"/>
      <c r="H47" s="25"/>
      <c r="I47" s="25">
        <v>-1</v>
      </c>
      <c r="J47" s="25"/>
      <c r="K47" s="25"/>
      <c r="L47" s="25"/>
      <c r="M47" s="25"/>
      <c r="N47" s="25"/>
      <c r="O47" s="25">
        <v>-1</v>
      </c>
      <c r="P47" s="25"/>
      <c r="Q47" s="25"/>
      <c r="R47" s="25"/>
      <c r="S47" s="25"/>
      <c r="T47" s="25">
        <v>-1</v>
      </c>
      <c r="U47" s="25"/>
      <c r="V47" s="25">
        <v>-13</v>
      </c>
      <c r="W47" s="25">
        <f>-1+-1+-1</f>
        <v>-3</v>
      </c>
      <c r="X47" s="25"/>
      <c r="Y47" s="25"/>
      <c r="Z47" s="32">
        <v>10</v>
      </c>
      <c r="AA47" s="25">
        <v>-5</v>
      </c>
      <c r="AB47" s="25">
        <v>-1</v>
      </c>
      <c r="AC47" s="25"/>
      <c r="AD47" s="25"/>
      <c r="AE47" s="25"/>
      <c r="AF47" s="25"/>
      <c r="AG47" s="25"/>
      <c r="AH47" s="25"/>
      <c r="AI47" s="25"/>
      <c r="AJ47" s="25"/>
      <c r="AK47" s="32">
        <v>25</v>
      </c>
      <c r="AL47" s="35">
        <f t="shared" si="0"/>
        <v>34</v>
      </c>
    </row>
    <row r="48" spans="1:38" customFormat="1" ht="15" x14ac:dyDescent="0.25">
      <c r="A48" s="11"/>
      <c r="B48" s="20"/>
      <c r="C48" s="20" t="s">
        <v>111</v>
      </c>
      <c r="D48" s="11"/>
      <c r="E48" s="11"/>
      <c r="F48" s="34">
        <v>55</v>
      </c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32">
        <v>132</v>
      </c>
      <c r="AG48" s="25"/>
      <c r="AH48" s="25"/>
      <c r="AI48" s="25"/>
      <c r="AJ48" s="25"/>
      <c r="AK48" s="25"/>
      <c r="AL48" s="35">
        <f t="shared" si="0"/>
        <v>187</v>
      </c>
    </row>
    <row r="49" spans="1:38" customFormat="1" ht="15" x14ac:dyDescent="0.25">
      <c r="A49" s="11"/>
      <c r="B49" s="20"/>
      <c r="C49" s="20" t="s">
        <v>113</v>
      </c>
      <c r="D49" s="11"/>
      <c r="E49" s="11"/>
      <c r="F49" s="34">
        <v>30</v>
      </c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35">
        <f t="shared" si="0"/>
        <v>30</v>
      </c>
    </row>
    <row r="50" spans="1:38" customFormat="1" ht="15" x14ac:dyDescent="0.25">
      <c r="A50" s="11"/>
      <c r="B50" s="20"/>
      <c r="C50" s="2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35"/>
    </row>
    <row r="51" spans="1:38" customFormat="1" ht="15" x14ac:dyDescent="0.25">
      <c r="A51" s="11"/>
      <c r="B51" s="20"/>
      <c r="C51" s="2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26"/>
    </row>
    <row r="52" spans="1:38" customFormat="1" ht="15" x14ac:dyDescent="0.25">
      <c r="A52" s="11"/>
      <c r="B52" s="20"/>
      <c r="C52" s="2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26"/>
    </row>
    <row r="53" spans="1:38" customFormat="1" ht="15" x14ac:dyDescent="0.25">
      <c r="A53" s="11"/>
      <c r="B53" s="20"/>
      <c r="C53" s="2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26"/>
    </row>
    <row r="54" spans="1:38" ht="13.5" thickBot="1" x14ac:dyDescent="0.25">
      <c r="D54" s="29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</row>
    <row r="55" spans="1:38" ht="79.5" customHeight="1" thickBot="1" x14ac:dyDescent="0.25">
      <c r="B55" s="6" t="s">
        <v>21</v>
      </c>
      <c r="C55" s="18"/>
      <c r="D55" s="19"/>
      <c r="E55" s="9" t="s">
        <v>22</v>
      </c>
      <c r="F55" s="22" t="s">
        <v>23</v>
      </c>
      <c r="G55" s="27" t="s">
        <v>24</v>
      </c>
      <c r="H55" s="28"/>
    </row>
    <row r="56" spans="1:38" ht="16.5" thickBot="1" x14ac:dyDescent="0.25">
      <c r="B56" s="7" t="s">
        <v>25</v>
      </c>
      <c r="C56" s="19"/>
      <c r="D56" s="19"/>
      <c r="E56" s="8"/>
      <c r="F56" s="21"/>
      <c r="G56" s="40"/>
      <c r="H56" s="41"/>
    </row>
    <row r="57" spans="1:38" ht="16.5" thickBot="1" x14ac:dyDescent="0.25">
      <c r="B57" s="7" t="s">
        <v>26</v>
      </c>
      <c r="C57" s="19"/>
      <c r="D57" s="19"/>
      <c r="E57" s="9"/>
      <c r="F57" s="22"/>
      <c r="G57" s="42"/>
      <c r="H57" s="43"/>
    </row>
    <row r="58" spans="1:38" ht="16.5" thickBot="1" x14ac:dyDescent="0.25">
      <c r="B58" s="7" t="s">
        <v>27</v>
      </c>
      <c r="C58" s="19"/>
      <c r="D58" s="19"/>
      <c r="E58" s="10"/>
      <c r="F58" s="23"/>
      <c r="G58" s="44"/>
      <c r="H58" s="45"/>
    </row>
    <row r="59" spans="1:38" ht="15.75" x14ac:dyDescent="0.2">
      <c r="B59" s="46" t="s">
        <v>28</v>
      </c>
      <c r="C59" s="16"/>
      <c r="D59" s="16"/>
      <c r="E59" s="49"/>
      <c r="F59" s="52"/>
      <c r="G59" s="55"/>
      <c r="H59" s="56"/>
    </row>
    <row r="60" spans="1:38" ht="15.75" x14ac:dyDescent="0.2">
      <c r="B60" s="47"/>
      <c r="C60" s="17"/>
      <c r="D60" s="17"/>
      <c r="E60" s="50"/>
      <c r="F60" s="53"/>
      <c r="G60" s="55"/>
      <c r="H60" s="56"/>
    </row>
    <row r="61" spans="1:38" ht="16.5" thickBot="1" x14ac:dyDescent="0.25">
      <c r="B61" s="48"/>
      <c r="C61" s="7"/>
      <c r="D61" s="7"/>
      <c r="E61" s="51"/>
      <c r="F61" s="54"/>
      <c r="G61" s="57"/>
      <c r="H61" s="58"/>
    </row>
  </sheetData>
  <mergeCells count="24">
    <mergeCell ref="E6:G6"/>
    <mergeCell ref="H6:J6"/>
    <mergeCell ref="K6:L6"/>
    <mergeCell ref="M6:Q6"/>
    <mergeCell ref="E7:G7"/>
    <mergeCell ref="H7:J7"/>
    <mergeCell ref="K7:L7"/>
    <mergeCell ref="M7:Q7"/>
    <mergeCell ref="E1:Q1"/>
    <mergeCell ref="E2:Q2"/>
    <mergeCell ref="E3:Q3"/>
    <mergeCell ref="E4:Q4"/>
    <mergeCell ref="E5:G5"/>
    <mergeCell ref="H5:J5"/>
    <mergeCell ref="K5:L5"/>
    <mergeCell ref="N5:O5"/>
    <mergeCell ref="P5:Q5"/>
    <mergeCell ref="G59:H61"/>
    <mergeCell ref="G56:H56"/>
    <mergeCell ref="G57:H57"/>
    <mergeCell ref="G58:H58"/>
    <mergeCell ref="B59:B61"/>
    <mergeCell ref="E59:E61"/>
    <mergeCell ref="F59:F61"/>
  </mergeCells>
  <conditionalFormatting sqref="AL11:AL53">
    <cfRule type="cellIs" dxfId="11" priority="4" operator="greaterThan">
      <formula>#REF!</formula>
    </cfRule>
    <cfRule type="cellIs" dxfId="10" priority="5" operator="between">
      <formula>11</formula>
      <formula>50</formula>
    </cfRule>
    <cfRule type="cellIs" dxfId="9" priority="6" operator="lessThan">
      <formula>#REF!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9DD10-0AC2-461A-BA2F-54E478B0327A}">
  <sheetPr codeName="Sheet2"/>
  <dimension ref="A1:AM89"/>
  <sheetViews>
    <sheetView workbookViewId="0">
      <pane xSplit="4" ySplit="10" topLeftCell="Z39" activePane="bottomRight" state="frozen"/>
      <selection pane="topRight" activeCell="E1" sqref="E1"/>
      <selection pane="bottomLeft" activeCell="A11" sqref="A11"/>
      <selection pane="bottomRight" activeCell="AI45" sqref="AI45"/>
    </sheetView>
  </sheetViews>
  <sheetFormatPr defaultRowHeight="15" x14ac:dyDescent="0.25"/>
  <cols>
    <col min="2" max="2" width="12" bestFit="1" customWidth="1"/>
    <col min="3" max="3" width="47.140625" bestFit="1" customWidth="1"/>
    <col min="7" max="34" width="10.140625" bestFit="1" customWidth="1"/>
  </cols>
  <sheetData>
    <row r="1" spans="1:39" ht="22.5" x14ac:dyDescent="0.25">
      <c r="E1" s="64" t="s">
        <v>29</v>
      </c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</row>
    <row r="2" spans="1:39" x14ac:dyDescent="0.25">
      <c r="E2" s="65" t="s">
        <v>30</v>
      </c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7"/>
    </row>
    <row r="3" spans="1:39" ht="15.75" x14ac:dyDescent="0.25">
      <c r="E3" s="68" t="s">
        <v>0</v>
      </c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</row>
    <row r="4" spans="1:39" x14ac:dyDescent="0.25">
      <c r="E4" s="69" t="s">
        <v>1</v>
      </c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</row>
    <row r="5" spans="1:39" ht="15.75" x14ac:dyDescent="0.25">
      <c r="E5" s="59" t="s">
        <v>2</v>
      </c>
      <c r="F5" s="59"/>
      <c r="G5" s="59"/>
      <c r="H5" s="70" t="s">
        <v>3</v>
      </c>
      <c r="I5" s="71"/>
      <c r="J5" s="72"/>
      <c r="K5" s="61" t="s">
        <v>4</v>
      </c>
      <c r="L5" s="61"/>
      <c r="M5" s="11">
        <v>0</v>
      </c>
      <c r="N5" s="73" t="s">
        <v>5</v>
      </c>
      <c r="O5" s="73"/>
      <c r="P5" s="74"/>
      <c r="Q5" s="75"/>
    </row>
    <row r="6" spans="1:39" ht="15.75" x14ac:dyDescent="0.25">
      <c r="E6" s="59" t="s">
        <v>6</v>
      </c>
      <c r="F6" s="59"/>
      <c r="G6" s="59"/>
      <c r="H6" s="60" t="s">
        <v>7</v>
      </c>
      <c r="I6" s="60"/>
      <c r="J6" s="60"/>
      <c r="K6" s="61" t="s">
        <v>8</v>
      </c>
      <c r="L6" s="61"/>
      <c r="M6" s="62" t="s">
        <v>9</v>
      </c>
      <c r="N6" s="62"/>
      <c r="O6" s="62"/>
      <c r="P6" s="62"/>
      <c r="Q6" s="62"/>
    </row>
    <row r="7" spans="1:39" ht="15.75" x14ac:dyDescent="0.25">
      <c r="E7" s="61" t="s">
        <v>10</v>
      </c>
      <c r="F7" s="61"/>
      <c r="G7" s="61"/>
      <c r="H7" s="63"/>
      <c r="I7" s="63"/>
      <c r="J7" s="63"/>
      <c r="K7" s="61" t="s">
        <v>11</v>
      </c>
      <c r="L7" s="61"/>
      <c r="M7" s="62"/>
      <c r="N7" s="62"/>
      <c r="O7" s="62"/>
      <c r="P7" s="62"/>
      <c r="Q7" s="62"/>
    </row>
    <row r="9" spans="1:39" x14ac:dyDescent="0.25">
      <c r="A9" t="s">
        <v>12</v>
      </c>
    </row>
    <row r="10" spans="1:39" ht="26.25" x14ac:dyDescent="0.25">
      <c r="A10" s="24" t="s">
        <v>13</v>
      </c>
      <c r="B10" s="4" t="s">
        <v>14</v>
      </c>
      <c r="C10" s="4" t="s">
        <v>15</v>
      </c>
      <c r="D10" s="4" t="s">
        <v>16</v>
      </c>
      <c r="E10" s="5" t="s">
        <v>17</v>
      </c>
      <c r="F10" s="12" t="s">
        <v>112</v>
      </c>
      <c r="G10" s="33">
        <v>46054</v>
      </c>
      <c r="H10" s="33">
        <v>46055</v>
      </c>
      <c r="I10" s="33">
        <v>46056</v>
      </c>
      <c r="J10" s="33">
        <v>46057</v>
      </c>
      <c r="K10" s="13">
        <v>46058</v>
      </c>
      <c r="L10" s="13">
        <v>46059</v>
      </c>
      <c r="M10" s="13">
        <v>46060</v>
      </c>
      <c r="N10" s="13">
        <v>46061</v>
      </c>
      <c r="O10" s="13">
        <v>46062</v>
      </c>
      <c r="P10" s="13">
        <v>46063</v>
      </c>
      <c r="Q10" s="13">
        <v>46064</v>
      </c>
      <c r="R10" s="13">
        <v>46065</v>
      </c>
      <c r="S10" s="13">
        <v>46066</v>
      </c>
      <c r="T10" s="13">
        <v>46067</v>
      </c>
      <c r="U10" s="13">
        <v>46068</v>
      </c>
      <c r="V10" s="13">
        <v>46069</v>
      </c>
      <c r="W10" s="13">
        <v>46070</v>
      </c>
      <c r="X10" s="13">
        <v>46071</v>
      </c>
      <c r="Y10" s="13">
        <v>46072</v>
      </c>
      <c r="Z10" s="13">
        <v>46073</v>
      </c>
      <c r="AA10" s="13">
        <v>46074</v>
      </c>
      <c r="AB10" s="13">
        <v>46075</v>
      </c>
      <c r="AC10" s="13">
        <v>46076</v>
      </c>
      <c r="AD10" s="13">
        <v>46077</v>
      </c>
      <c r="AE10" s="13">
        <v>46078</v>
      </c>
      <c r="AF10" s="13">
        <v>46079</v>
      </c>
      <c r="AG10" s="13">
        <v>46080</v>
      </c>
      <c r="AH10" s="13">
        <v>46081</v>
      </c>
      <c r="AI10" s="12" t="s">
        <v>114</v>
      </c>
      <c r="AJ10" s="3" t="s">
        <v>18</v>
      </c>
      <c r="AK10" s="3" t="s">
        <v>19</v>
      </c>
      <c r="AL10" s="3" t="s">
        <v>20</v>
      </c>
      <c r="AM10" s="14"/>
    </row>
    <row r="11" spans="1:39" x14ac:dyDescent="0.25">
      <c r="A11" s="11" t="s">
        <v>97</v>
      </c>
      <c r="B11" s="20" t="s">
        <v>31</v>
      </c>
      <c r="C11" s="20" t="s">
        <v>32</v>
      </c>
      <c r="D11" s="11"/>
      <c r="E11" s="11"/>
      <c r="F11" s="34">
        <f>'Jan 2026'!AL11</f>
        <v>1813</v>
      </c>
      <c r="G11" s="25"/>
      <c r="H11" s="25"/>
      <c r="I11" s="25"/>
      <c r="J11" s="25">
        <v>-64</v>
      </c>
      <c r="K11" s="25"/>
      <c r="L11" s="25"/>
      <c r="M11" s="25"/>
      <c r="N11" s="25"/>
      <c r="O11" s="25"/>
      <c r="P11" s="25"/>
      <c r="Q11" s="25"/>
      <c r="R11" s="25"/>
      <c r="S11" s="25">
        <v>-120</v>
      </c>
      <c r="T11" s="25"/>
      <c r="U11" s="25"/>
      <c r="V11" s="25"/>
      <c r="W11" s="25"/>
      <c r="X11" s="25"/>
      <c r="Y11" s="25"/>
      <c r="Z11" s="25">
        <v>-96</v>
      </c>
      <c r="AA11" s="25"/>
      <c r="AB11" s="25"/>
      <c r="AC11" s="25"/>
      <c r="AD11" s="25">
        <v>-22</v>
      </c>
      <c r="AE11" s="25"/>
      <c r="AF11" s="25"/>
      <c r="AG11" s="25"/>
      <c r="AH11" s="25"/>
      <c r="AI11" s="35">
        <f>F11+SUM(G11:AH11)</f>
        <v>1511</v>
      </c>
    </row>
    <row r="12" spans="1:39" x14ac:dyDescent="0.25">
      <c r="A12" s="11" t="s">
        <v>98</v>
      </c>
      <c r="B12" s="20" t="s">
        <v>33</v>
      </c>
      <c r="C12" s="20" t="s">
        <v>34</v>
      </c>
      <c r="D12" s="11"/>
      <c r="E12" s="11"/>
      <c r="F12" s="34">
        <f>'Jan 2026'!AL12</f>
        <v>579</v>
      </c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>
        <v>-2</v>
      </c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35">
        <f t="shared" ref="AI12:AI49" si="0">F12+SUM(G12:AH12)</f>
        <v>577</v>
      </c>
    </row>
    <row r="13" spans="1:39" x14ac:dyDescent="0.25">
      <c r="A13" s="11" t="s">
        <v>98</v>
      </c>
      <c r="B13" s="20" t="s">
        <v>35</v>
      </c>
      <c r="C13" s="20" t="s">
        <v>36</v>
      </c>
      <c r="D13" s="11"/>
      <c r="E13" s="11"/>
      <c r="F13" s="34">
        <f>'Jan 2026'!AL13</f>
        <v>269</v>
      </c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5">
        <f t="shared" si="0"/>
        <v>269</v>
      </c>
    </row>
    <row r="14" spans="1:39" x14ac:dyDescent="0.25">
      <c r="A14" s="11" t="s">
        <v>97</v>
      </c>
      <c r="B14" s="20" t="s">
        <v>37</v>
      </c>
      <c r="C14" s="20" t="s">
        <v>38</v>
      </c>
      <c r="D14" s="11"/>
      <c r="E14" s="11"/>
      <c r="F14" s="34">
        <f>'Jan 2026'!AL14</f>
        <v>2564</v>
      </c>
      <c r="G14" s="25"/>
      <c r="H14" s="25"/>
      <c r="I14" s="25"/>
      <c r="J14" s="25">
        <f>-32+-64+-40</f>
        <v>-136</v>
      </c>
      <c r="K14" s="25">
        <f>-100+-36+-24</f>
        <v>-160</v>
      </c>
      <c r="L14" s="25"/>
      <c r="M14" s="25"/>
      <c r="N14" s="25"/>
      <c r="O14" s="25"/>
      <c r="P14" s="25"/>
      <c r="Q14" s="25"/>
      <c r="R14" s="25"/>
      <c r="S14" s="25">
        <f>-60+-120</f>
        <v>-180</v>
      </c>
      <c r="T14" s="25"/>
      <c r="U14" s="25"/>
      <c r="V14" s="25"/>
      <c r="W14" s="25"/>
      <c r="X14" s="25"/>
      <c r="Y14" s="25"/>
      <c r="Z14" s="25">
        <f>-48+-96</f>
        <v>-144</v>
      </c>
      <c r="AA14" s="25"/>
      <c r="AB14" s="25"/>
      <c r="AC14" s="25"/>
      <c r="AD14" s="25">
        <f>-88+-88</f>
        <v>-176</v>
      </c>
      <c r="AE14" s="25"/>
      <c r="AF14" s="25"/>
      <c r="AG14" s="25"/>
      <c r="AH14" s="25"/>
      <c r="AI14" s="35">
        <f t="shared" si="0"/>
        <v>1768</v>
      </c>
    </row>
    <row r="15" spans="1:39" x14ac:dyDescent="0.25">
      <c r="A15" s="11" t="s">
        <v>98</v>
      </c>
      <c r="B15" s="20" t="s">
        <v>39</v>
      </c>
      <c r="C15" s="20" t="s">
        <v>40</v>
      </c>
      <c r="D15" s="11"/>
      <c r="E15" s="11"/>
      <c r="F15" s="34">
        <f>'Jan 2026'!AL15</f>
        <v>921</v>
      </c>
      <c r="G15" s="25"/>
      <c r="H15" s="25">
        <v>-25</v>
      </c>
      <c r="I15" s="25">
        <v>-6</v>
      </c>
      <c r="J15" s="25">
        <f>-8+-8+-10</f>
        <v>-26</v>
      </c>
      <c r="K15" s="25">
        <f>-9+-6</f>
        <v>-15</v>
      </c>
      <c r="L15" s="25"/>
      <c r="M15" s="25"/>
      <c r="N15" s="25"/>
      <c r="O15" s="25"/>
      <c r="P15" s="25"/>
      <c r="Q15" s="25"/>
      <c r="R15" s="25"/>
      <c r="S15" s="25">
        <f>-15+-15</f>
        <v>-30</v>
      </c>
      <c r="T15" s="25"/>
      <c r="U15" s="25"/>
      <c r="V15" s="25">
        <v>-2</v>
      </c>
      <c r="W15" s="25"/>
      <c r="X15" s="25"/>
      <c r="Y15" s="25">
        <v>-1</v>
      </c>
      <c r="Z15" s="25">
        <f>-22+-12+-12</f>
        <v>-46</v>
      </c>
      <c r="AA15" s="25"/>
      <c r="AB15" s="25"/>
      <c r="AC15" s="25"/>
      <c r="AD15" s="25">
        <f>-22+-22</f>
        <v>-44</v>
      </c>
      <c r="AE15" s="25"/>
      <c r="AF15" s="25"/>
      <c r="AG15" s="25"/>
      <c r="AH15" s="25"/>
      <c r="AI15" s="35">
        <f t="shared" si="0"/>
        <v>726</v>
      </c>
    </row>
    <row r="16" spans="1:39" x14ac:dyDescent="0.25">
      <c r="A16" s="11" t="s">
        <v>97</v>
      </c>
      <c r="B16" s="20" t="s">
        <v>41</v>
      </c>
      <c r="C16" s="20" t="s">
        <v>42</v>
      </c>
      <c r="D16" s="11"/>
      <c r="E16" s="11"/>
      <c r="F16" s="34">
        <f>'Jan 2026'!AL16</f>
        <v>1340</v>
      </c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>
        <v>-88</v>
      </c>
      <c r="AA16" s="25"/>
      <c r="AB16" s="25"/>
      <c r="AC16" s="25"/>
      <c r="AD16" s="25"/>
      <c r="AE16" s="25"/>
      <c r="AF16" s="25"/>
      <c r="AG16" s="25"/>
      <c r="AH16" s="25"/>
      <c r="AI16" s="35">
        <f t="shared" si="0"/>
        <v>1252</v>
      </c>
    </row>
    <row r="17" spans="1:35" x14ac:dyDescent="0.25">
      <c r="A17" s="11" t="s">
        <v>97</v>
      </c>
      <c r="B17" s="20" t="s">
        <v>43</v>
      </c>
      <c r="C17" s="20" t="s">
        <v>44</v>
      </c>
      <c r="D17" s="11"/>
      <c r="E17" s="11"/>
      <c r="F17" s="34">
        <f>'Jan 2026'!AL17</f>
        <v>232</v>
      </c>
      <c r="G17" s="25"/>
      <c r="H17" s="25"/>
      <c r="I17" s="25">
        <v>-63</v>
      </c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35">
        <f t="shared" si="0"/>
        <v>169</v>
      </c>
    </row>
    <row r="18" spans="1:35" x14ac:dyDescent="0.25">
      <c r="A18" s="11" t="s">
        <v>97</v>
      </c>
      <c r="B18" s="20" t="s">
        <v>45</v>
      </c>
      <c r="C18" s="20" t="s">
        <v>46</v>
      </c>
      <c r="D18" s="11"/>
      <c r="E18" s="11"/>
      <c r="F18" s="34">
        <f>'Jan 2026'!AL18</f>
        <v>2143</v>
      </c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>
        <v>-4</v>
      </c>
      <c r="AF18" s="25"/>
      <c r="AG18" s="25"/>
      <c r="AH18" s="25"/>
      <c r="AI18" s="35">
        <f t="shared" si="0"/>
        <v>2139</v>
      </c>
    </row>
    <row r="19" spans="1:35" x14ac:dyDescent="0.25">
      <c r="A19" s="11" t="s">
        <v>99</v>
      </c>
      <c r="B19" s="20" t="s">
        <v>47</v>
      </c>
      <c r="C19" s="20" t="s">
        <v>48</v>
      </c>
      <c r="D19" s="11"/>
      <c r="E19" s="11"/>
      <c r="F19" s="34">
        <f>'Jan 2026'!AL19</f>
        <v>258</v>
      </c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35">
        <f t="shared" si="0"/>
        <v>258</v>
      </c>
    </row>
    <row r="20" spans="1:35" x14ac:dyDescent="0.25">
      <c r="A20" s="11" t="s">
        <v>99</v>
      </c>
      <c r="B20" s="20" t="s">
        <v>49</v>
      </c>
      <c r="C20" s="20" t="s">
        <v>50</v>
      </c>
      <c r="D20" s="11"/>
      <c r="E20" s="11"/>
      <c r="F20" s="34">
        <f>'Jan 2026'!AL20</f>
        <v>713</v>
      </c>
      <c r="G20" s="25"/>
      <c r="H20" s="25"/>
      <c r="I20" s="25"/>
      <c r="J20" s="25">
        <f>-8+-10</f>
        <v>-18</v>
      </c>
      <c r="K20" s="25">
        <v>-9</v>
      </c>
      <c r="L20" s="25"/>
      <c r="M20" s="25">
        <v>-25</v>
      </c>
      <c r="N20" s="25"/>
      <c r="O20" s="25"/>
      <c r="P20" s="25"/>
      <c r="Q20" s="25"/>
      <c r="R20" s="25"/>
      <c r="S20" s="25">
        <v>-15</v>
      </c>
      <c r="T20" s="25"/>
      <c r="U20" s="25"/>
      <c r="V20" s="25"/>
      <c r="W20" s="25"/>
      <c r="X20" s="25"/>
      <c r="Y20" s="25">
        <v>-1</v>
      </c>
      <c r="Z20" s="25">
        <f>-22+-12</f>
        <v>-34</v>
      </c>
      <c r="AA20" s="32">
        <v>300</v>
      </c>
      <c r="AB20" s="25"/>
      <c r="AC20" s="25"/>
      <c r="AD20" s="25">
        <v>-22</v>
      </c>
      <c r="AE20" s="25"/>
      <c r="AF20" s="32">
        <v>398</v>
      </c>
      <c r="AG20" s="25"/>
      <c r="AH20" s="25"/>
      <c r="AI20" s="35">
        <f t="shared" si="0"/>
        <v>1287</v>
      </c>
    </row>
    <row r="21" spans="1:35" x14ac:dyDescent="0.25">
      <c r="A21" s="11" t="s">
        <v>100</v>
      </c>
      <c r="B21" s="20" t="s">
        <v>51</v>
      </c>
      <c r="C21" s="20" t="s">
        <v>52</v>
      </c>
      <c r="D21" s="11"/>
      <c r="E21" s="11"/>
      <c r="F21" s="34">
        <f>'Jan 2026'!AL21</f>
        <v>94</v>
      </c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35">
        <f t="shared" si="0"/>
        <v>94</v>
      </c>
    </row>
    <row r="22" spans="1:35" x14ac:dyDescent="0.25">
      <c r="A22" s="11" t="s">
        <v>100</v>
      </c>
      <c r="B22" s="20" t="s">
        <v>53</v>
      </c>
      <c r="C22" s="20" t="s">
        <v>54</v>
      </c>
      <c r="D22" s="11"/>
      <c r="E22" s="11"/>
      <c r="F22" s="34">
        <f>'Jan 2026'!AL22</f>
        <v>54</v>
      </c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35">
        <f t="shared" si="0"/>
        <v>54</v>
      </c>
    </row>
    <row r="23" spans="1:35" x14ac:dyDescent="0.25">
      <c r="A23" s="11" t="s">
        <v>100</v>
      </c>
      <c r="B23" s="20" t="s">
        <v>55</v>
      </c>
      <c r="C23" s="20" t="s">
        <v>56</v>
      </c>
      <c r="D23" s="11"/>
      <c r="E23" s="11"/>
      <c r="F23" s="34">
        <f>'Jan 2026'!AL23</f>
        <v>208</v>
      </c>
      <c r="G23" s="25"/>
      <c r="H23" s="25">
        <v>-25</v>
      </c>
      <c r="I23" s="25"/>
      <c r="J23" s="25">
        <f>-8+-10</f>
        <v>-18</v>
      </c>
      <c r="K23" s="25">
        <f>-9+-6</f>
        <v>-15</v>
      </c>
      <c r="L23" s="25"/>
      <c r="M23" s="25"/>
      <c r="N23" s="25"/>
      <c r="O23" s="25"/>
      <c r="P23" s="25"/>
      <c r="Q23" s="25"/>
      <c r="R23" s="25"/>
      <c r="S23" s="25">
        <v>-15</v>
      </c>
      <c r="T23" s="25"/>
      <c r="U23" s="25"/>
      <c r="V23" s="25"/>
      <c r="W23" s="25"/>
      <c r="X23" s="25"/>
      <c r="Y23" s="25">
        <v>-1</v>
      </c>
      <c r="Z23" s="25">
        <f>-22+-12</f>
        <v>-34</v>
      </c>
      <c r="AA23" s="25"/>
      <c r="AB23" s="25"/>
      <c r="AC23" s="25"/>
      <c r="AD23" s="25">
        <v>-22</v>
      </c>
      <c r="AE23" s="25"/>
      <c r="AF23" s="25"/>
      <c r="AG23" s="25"/>
      <c r="AH23" s="25"/>
      <c r="AI23" s="35">
        <f t="shared" si="0"/>
        <v>78</v>
      </c>
    </row>
    <row r="24" spans="1:35" x14ac:dyDescent="0.25">
      <c r="A24" s="11" t="s">
        <v>99</v>
      </c>
      <c r="B24" s="20" t="s">
        <v>57</v>
      </c>
      <c r="C24" s="20" t="s">
        <v>58</v>
      </c>
      <c r="D24" s="11"/>
      <c r="E24" s="11"/>
      <c r="F24" s="34">
        <f>'Jan 2026'!AL24</f>
        <v>578</v>
      </c>
      <c r="G24" s="25"/>
      <c r="H24" s="25">
        <f>-34+-12+-199</f>
        <v>-245</v>
      </c>
      <c r="I24" s="25"/>
      <c r="J24" s="25">
        <f>-32+-18+-21</f>
        <v>-71</v>
      </c>
      <c r="K24" s="25"/>
      <c r="L24" s="25"/>
      <c r="M24" s="25"/>
      <c r="N24" s="25"/>
      <c r="O24" s="25">
        <v>-4</v>
      </c>
      <c r="P24" s="25"/>
      <c r="Q24" s="25"/>
      <c r="R24" s="25">
        <v>-5</v>
      </c>
      <c r="S24" s="25"/>
      <c r="T24" s="25"/>
      <c r="U24" s="25"/>
      <c r="V24" s="25">
        <v>-72</v>
      </c>
      <c r="W24" s="25">
        <v>-32</v>
      </c>
      <c r="X24" s="25"/>
      <c r="Y24" s="25">
        <v>-33</v>
      </c>
      <c r="Z24" s="25">
        <v>-27</v>
      </c>
      <c r="AA24" s="32">
        <v>130</v>
      </c>
      <c r="AB24" s="25"/>
      <c r="AC24" s="25">
        <v>-72</v>
      </c>
      <c r="AD24" s="25">
        <v>-31</v>
      </c>
      <c r="AE24" s="25"/>
      <c r="AF24" s="32">
        <v>374</v>
      </c>
      <c r="AG24" s="25">
        <v>-87</v>
      </c>
      <c r="AH24" s="25">
        <f>-13+-16</f>
        <v>-29</v>
      </c>
      <c r="AI24" s="35">
        <f t="shared" si="0"/>
        <v>374</v>
      </c>
    </row>
    <row r="25" spans="1:35" x14ac:dyDescent="0.25">
      <c r="A25" s="11" t="s">
        <v>99</v>
      </c>
      <c r="B25" s="20" t="s">
        <v>59</v>
      </c>
      <c r="C25" s="20" t="s">
        <v>60</v>
      </c>
      <c r="D25" s="11"/>
      <c r="E25" s="11"/>
      <c r="F25" s="34">
        <f>'Jan 2026'!AL25</f>
        <v>61</v>
      </c>
      <c r="G25" s="25"/>
      <c r="H25" s="25">
        <v>-25</v>
      </c>
      <c r="I25" s="25"/>
      <c r="J25" s="25">
        <v>-2</v>
      </c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>
        <v>-5</v>
      </c>
      <c r="W25" s="25">
        <v>-4</v>
      </c>
      <c r="X25" s="25"/>
      <c r="Y25" s="25"/>
      <c r="Z25" s="25"/>
      <c r="AA25" s="25"/>
      <c r="AB25" s="25"/>
      <c r="AC25" s="25">
        <v>-8</v>
      </c>
      <c r="AD25" s="25"/>
      <c r="AE25" s="25"/>
      <c r="AF25" s="25"/>
      <c r="AG25" s="25"/>
      <c r="AH25" s="25"/>
      <c r="AI25" s="35">
        <f t="shared" si="0"/>
        <v>17</v>
      </c>
    </row>
    <row r="26" spans="1:35" x14ac:dyDescent="0.25">
      <c r="A26" s="11" t="s">
        <v>100</v>
      </c>
      <c r="B26" s="20" t="s">
        <v>61</v>
      </c>
      <c r="C26" s="20" t="s">
        <v>62</v>
      </c>
      <c r="D26" s="11"/>
      <c r="E26" s="11"/>
      <c r="F26" s="34">
        <f>'Jan 2026'!AL26</f>
        <v>287</v>
      </c>
      <c r="G26" s="25"/>
      <c r="H26" s="25">
        <v>-12</v>
      </c>
      <c r="I26" s="25"/>
      <c r="J26" s="25">
        <f>-32+-18+-21</f>
        <v>-71</v>
      </c>
      <c r="K26" s="25"/>
      <c r="L26" s="25"/>
      <c r="M26" s="25"/>
      <c r="N26" s="25"/>
      <c r="O26" s="25">
        <v>-6</v>
      </c>
      <c r="P26" s="25"/>
      <c r="Q26" s="25"/>
      <c r="R26" s="25"/>
      <c r="S26" s="25">
        <v>-62</v>
      </c>
      <c r="T26" s="25"/>
      <c r="U26" s="25"/>
      <c r="V26" s="25"/>
      <c r="W26" s="25"/>
      <c r="X26" s="25"/>
      <c r="Y26" s="25">
        <v>-42</v>
      </c>
      <c r="Z26" s="25">
        <v>-45</v>
      </c>
      <c r="AA26" s="32">
        <v>130</v>
      </c>
      <c r="AB26" s="25">
        <v>-234</v>
      </c>
      <c r="AC26" s="25"/>
      <c r="AD26" s="25"/>
      <c r="AE26" s="25"/>
      <c r="AF26" s="32">
        <v>400</v>
      </c>
      <c r="AG26" s="25">
        <v>-87</v>
      </c>
      <c r="AH26" s="25">
        <f>-72+-44+-16+-69</f>
        <v>-201</v>
      </c>
      <c r="AI26" s="35">
        <f t="shared" si="0"/>
        <v>57</v>
      </c>
    </row>
    <row r="27" spans="1:35" x14ac:dyDescent="0.25">
      <c r="A27" s="11" t="s">
        <v>100</v>
      </c>
      <c r="B27" s="20" t="s">
        <v>63</v>
      </c>
      <c r="C27" s="20" t="s">
        <v>64</v>
      </c>
      <c r="D27" s="11"/>
      <c r="E27" s="11"/>
      <c r="F27" s="34">
        <f>'Jan 2026'!AL27</f>
        <v>250</v>
      </c>
      <c r="G27" s="25"/>
      <c r="H27" s="25"/>
      <c r="I27" s="25"/>
      <c r="J27" s="25">
        <v>-2</v>
      </c>
      <c r="K27" s="25">
        <v>-25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35">
        <f t="shared" si="0"/>
        <v>223</v>
      </c>
    </row>
    <row r="28" spans="1:35" x14ac:dyDescent="0.25">
      <c r="A28" s="11" t="s">
        <v>100</v>
      </c>
      <c r="B28" s="20" t="s">
        <v>65</v>
      </c>
      <c r="C28" s="20" t="s">
        <v>66</v>
      </c>
      <c r="D28" s="11"/>
      <c r="E28" s="11"/>
      <c r="F28" s="34">
        <f>'Jan 2026'!AL28</f>
        <v>86</v>
      </c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35">
        <f t="shared" si="0"/>
        <v>86</v>
      </c>
    </row>
    <row r="29" spans="1:35" x14ac:dyDescent="0.25">
      <c r="A29" s="11" t="s">
        <v>100</v>
      </c>
      <c r="B29" s="20" t="s">
        <v>67</v>
      </c>
      <c r="C29" s="20" t="s">
        <v>68</v>
      </c>
      <c r="D29" s="11"/>
      <c r="E29" s="11"/>
      <c r="F29" s="34">
        <f>'Jan 2026'!AL29</f>
        <v>34</v>
      </c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35">
        <f t="shared" si="0"/>
        <v>34</v>
      </c>
    </row>
    <row r="30" spans="1:35" x14ac:dyDescent="0.25">
      <c r="A30" s="11" t="s">
        <v>99</v>
      </c>
      <c r="B30" s="20" t="s">
        <v>69</v>
      </c>
      <c r="C30" s="20" t="s">
        <v>70</v>
      </c>
      <c r="D30" s="11"/>
      <c r="E30" s="11"/>
      <c r="F30" s="34">
        <f>'Jan 2026'!AL30</f>
        <v>388</v>
      </c>
      <c r="G30" s="25"/>
      <c r="H30" s="25"/>
      <c r="I30" s="25"/>
      <c r="J30" s="25">
        <v>-16</v>
      </c>
      <c r="K30" s="25"/>
      <c r="L30" s="25"/>
      <c r="M30" s="25"/>
      <c r="N30" s="25"/>
      <c r="O30" s="25"/>
      <c r="P30" s="25"/>
      <c r="Q30" s="25"/>
      <c r="R30" s="25"/>
      <c r="S30" s="25">
        <v>-62</v>
      </c>
      <c r="T30" s="25"/>
      <c r="U30" s="25"/>
      <c r="V30" s="25"/>
      <c r="W30" s="25">
        <v>-16</v>
      </c>
      <c r="X30" s="25"/>
      <c r="Y30" s="25"/>
      <c r="Z30" s="25"/>
      <c r="AA30" s="25">
        <v>-50</v>
      </c>
      <c r="AB30" s="25"/>
      <c r="AC30" s="25"/>
      <c r="AD30" s="25"/>
      <c r="AE30" s="25"/>
      <c r="AF30" s="25"/>
      <c r="AG30" s="25"/>
      <c r="AH30" s="25"/>
      <c r="AI30" s="35">
        <f t="shared" si="0"/>
        <v>244</v>
      </c>
    </row>
    <row r="31" spans="1:35" x14ac:dyDescent="0.25">
      <c r="A31" s="11" t="s">
        <v>99</v>
      </c>
      <c r="B31" s="20" t="s">
        <v>71</v>
      </c>
      <c r="C31" s="20" t="s">
        <v>72</v>
      </c>
      <c r="D31" s="11"/>
      <c r="E31" s="11"/>
      <c r="F31" s="34">
        <f>'Jan 2026'!AL31</f>
        <v>246</v>
      </c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35">
        <f t="shared" si="0"/>
        <v>246</v>
      </c>
    </row>
    <row r="32" spans="1:35" x14ac:dyDescent="0.25">
      <c r="A32" s="11" t="s">
        <v>100</v>
      </c>
      <c r="B32" s="20" t="s">
        <v>73</v>
      </c>
      <c r="C32" s="20" t="s">
        <v>74</v>
      </c>
      <c r="D32" s="11"/>
      <c r="E32" s="11"/>
      <c r="F32" s="34">
        <f>'Jan 2026'!AL32</f>
        <v>203</v>
      </c>
      <c r="G32" s="25"/>
      <c r="H32" s="25">
        <v>-6</v>
      </c>
      <c r="I32" s="25"/>
      <c r="J32" s="25">
        <v>-16</v>
      </c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>
        <v>-21</v>
      </c>
      <c r="Z32" s="25"/>
      <c r="AA32" s="32">
        <v>100</v>
      </c>
      <c r="AB32" s="25"/>
      <c r="AC32" s="25"/>
      <c r="AD32" s="25">
        <v>-16</v>
      </c>
      <c r="AE32" s="25"/>
      <c r="AF32" s="25"/>
      <c r="AG32" s="25"/>
      <c r="AH32" s="25"/>
      <c r="AI32" s="35">
        <f t="shared" si="0"/>
        <v>244</v>
      </c>
    </row>
    <row r="33" spans="1:35" x14ac:dyDescent="0.25">
      <c r="A33" s="11" t="s">
        <v>100</v>
      </c>
      <c r="B33" s="20" t="s">
        <v>75</v>
      </c>
      <c r="C33" s="20" t="s">
        <v>76</v>
      </c>
      <c r="D33" s="11"/>
      <c r="E33" s="11"/>
      <c r="F33" s="34">
        <f>'Jan 2026'!AL33</f>
        <v>149</v>
      </c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>
        <v>-4</v>
      </c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35">
        <f t="shared" si="0"/>
        <v>145</v>
      </c>
    </row>
    <row r="34" spans="1:35" x14ac:dyDescent="0.25">
      <c r="A34" s="11" t="s">
        <v>99</v>
      </c>
      <c r="B34" s="20" t="s">
        <v>77</v>
      </c>
      <c r="C34" s="20" t="s">
        <v>78</v>
      </c>
      <c r="D34" s="11"/>
      <c r="E34" s="11"/>
      <c r="F34" s="34">
        <f>'Jan 2026'!AL34</f>
        <v>38</v>
      </c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35">
        <f t="shared" si="0"/>
        <v>38</v>
      </c>
    </row>
    <row r="35" spans="1:35" x14ac:dyDescent="0.25">
      <c r="A35" s="11" t="s">
        <v>100</v>
      </c>
      <c r="B35" s="20" t="s">
        <v>79</v>
      </c>
      <c r="C35" s="20" t="s">
        <v>80</v>
      </c>
      <c r="D35" s="11"/>
      <c r="E35" s="11"/>
      <c r="F35" s="34">
        <f>'Jan 2026'!AL35</f>
        <v>8</v>
      </c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35">
        <f t="shared" si="0"/>
        <v>8</v>
      </c>
    </row>
    <row r="36" spans="1:35" x14ac:dyDescent="0.25">
      <c r="A36" s="11" t="s">
        <v>99</v>
      </c>
      <c r="B36" s="20" t="s">
        <v>81</v>
      </c>
      <c r="C36" s="20" t="s">
        <v>82</v>
      </c>
      <c r="D36" s="11"/>
      <c r="E36" s="11"/>
      <c r="F36" s="34">
        <f>'Jan 2026'!AL36</f>
        <v>150</v>
      </c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35">
        <f t="shared" si="0"/>
        <v>150</v>
      </c>
    </row>
    <row r="37" spans="1:35" x14ac:dyDescent="0.25">
      <c r="A37" s="11" t="s">
        <v>100</v>
      </c>
      <c r="B37" s="20" t="s">
        <v>83</v>
      </c>
      <c r="C37" s="20" t="s">
        <v>84</v>
      </c>
      <c r="D37" s="11"/>
      <c r="E37" s="11"/>
      <c r="F37" s="34">
        <f>'Jan 2026'!AL37</f>
        <v>150</v>
      </c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35">
        <f t="shared" si="0"/>
        <v>150</v>
      </c>
    </row>
    <row r="38" spans="1:35" x14ac:dyDescent="0.25">
      <c r="A38" s="11" t="s">
        <v>99</v>
      </c>
      <c r="B38" s="20" t="s">
        <v>85</v>
      </c>
      <c r="C38" s="20" t="s">
        <v>86</v>
      </c>
      <c r="D38" s="11"/>
      <c r="E38" s="11"/>
      <c r="F38" s="34">
        <f>'Jan 2026'!AL38</f>
        <v>57</v>
      </c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35">
        <f t="shared" si="0"/>
        <v>57</v>
      </c>
    </row>
    <row r="39" spans="1:35" x14ac:dyDescent="0.25">
      <c r="A39" s="11" t="s">
        <v>100</v>
      </c>
      <c r="B39" s="20" t="s">
        <v>87</v>
      </c>
      <c r="C39" s="20" t="s">
        <v>88</v>
      </c>
      <c r="D39" s="11"/>
      <c r="E39" s="11"/>
      <c r="F39" s="34">
        <f>'Jan 2026'!AL39</f>
        <v>0</v>
      </c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35">
        <f t="shared" si="0"/>
        <v>0</v>
      </c>
    </row>
    <row r="40" spans="1:35" x14ac:dyDescent="0.25">
      <c r="A40" s="11" t="s">
        <v>101</v>
      </c>
      <c r="B40" s="20" t="s">
        <v>89</v>
      </c>
      <c r="C40" s="20" t="s">
        <v>90</v>
      </c>
      <c r="D40" s="11"/>
      <c r="E40" s="11"/>
      <c r="F40" s="34">
        <f>'Jan 2026'!AL40</f>
        <v>5</v>
      </c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35">
        <f t="shared" si="0"/>
        <v>5</v>
      </c>
    </row>
    <row r="41" spans="1:35" x14ac:dyDescent="0.25">
      <c r="A41" s="11" t="s">
        <v>102</v>
      </c>
      <c r="B41" s="20" t="s">
        <v>91</v>
      </c>
      <c r="C41" s="20" t="s">
        <v>92</v>
      </c>
      <c r="D41" s="11"/>
      <c r="E41" s="11"/>
      <c r="F41" s="34">
        <f>'Jan 2026'!AL41</f>
        <v>70</v>
      </c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35">
        <f t="shared" si="0"/>
        <v>70</v>
      </c>
    </row>
    <row r="42" spans="1:35" x14ac:dyDescent="0.25">
      <c r="A42" s="11" t="s">
        <v>101</v>
      </c>
      <c r="B42" s="20" t="s">
        <v>93</v>
      </c>
      <c r="C42" s="20" t="s">
        <v>94</v>
      </c>
      <c r="D42" s="11"/>
      <c r="E42" s="11"/>
      <c r="F42" s="34">
        <f>'Jan 2026'!AL42</f>
        <v>58</v>
      </c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>
        <v>-2</v>
      </c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35">
        <f t="shared" si="0"/>
        <v>56</v>
      </c>
    </row>
    <row r="43" spans="1:35" x14ac:dyDescent="0.25">
      <c r="A43" s="20" t="s">
        <v>101</v>
      </c>
      <c r="B43" s="20" t="s">
        <v>95</v>
      </c>
      <c r="C43" s="20" t="s">
        <v>96</v>
      </c>
      <c r="D43" s="11"/>
      <c r="E43" s="11"/>
      <c r="F43" s="34">
        <f>'Jan 2026'!AL43</f>
        <v>0</v>
      </c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35">
        <f t="shared" si="0"/>
        <v>0</v>
      </c>
    </row>
    <row r="44" spans="1:35" x14ac:dyDescent="0.25">
      <c r="A44" s="31" t="s">
        <v>107</v>
      </c>
      <c r="B44" s="20" t="s">
        <v>103</v>
      </c>
      <c r="C44" s="20" t="s">
        <v>104</v>
      </c>
      <c r="D44" s="11"/>
      <c r="E44" s="11"/>
      <c r="F44" s="34">
        <f>'Jan 2026'!AL44</f>
        <v>239</v>
      </c>
      <c r="G44" s="25"/>
      <c r="H44" s="25">
        <v>-17</v>
      </c>
      <c r="I44" s="25"/>
      <c r="J44" s="25">
        <f>-9+-21</f>
        <v>-30</v>
      </c>
      <c r="K44" s="25"/>
      <c r="L44" s="25"/>
      <c r="M44" s="25"/>
      <c r="N44" s="25"/>
      <c r="O44" s="25">
        <v>-2</v>
      </c>
      <c r="P44" s="25"/>
      <c r="Q44" s="25"/>
      <c r="R44" s="25"/>
      <c r="S44" s="25">
        <v>-31</v>
      </c>
      <c r="T44" s="25"/>
      <c r="U44" s="25"/>
      <c r="V44" s="25">
        <v>-36</v>
      </c>
      <c r="W44" s="25"/>
      <c r="X44" s="25"/>
      <c r="Y44" s="25"/>
      <c r="Z44" s="25"/>
      <c r="AA44" s="25">
        <v>-1</v>
      </c>
      <c r="AB44" s="25"/>
      <c r="AC44" s="25">
        <v>-36</v>
      </c>
      <c r="AD44" s="25">
        <v>-22</v>
      </c>
      <c r="AE44" s="25"/>
      <c r="AF44" s="25"/>
      <c r="AG44" s="25">
        <v>-64</v>
      </c>
      <c r="AH44" s="25"/>
      <c r="AI44" s="35">
        <f t="shared" si="0"/>
        <v>0</v>
      </c>
    </row>
    <row r="45" spans="1:35" x14ac:dyDescent="0.25">
      <c r="A45" s="31" t="s">
        <v>107</v>
      </c>
      <c r="B45" s="20" t="s">
        <v>105</v>
      </c>
      <c r="C45" s="20" t="s">
        <v>106</v>
      </c>
      <c r="D45" s="11"/>
      <c r="E45" s="11"/>
      <c r="F45" s="34">
        <f>'Jan 2026'!AL45</f>
        <v>0</v>
      </c>
      <c r="G45" s="25"/>
      <c r="H45" s="25"/>
      <c r="I45" s="25"/>
      <c r="J45" s="25"/>
      <c r="K45" s="25"/>
      <c r="L45" s="25"/>
      <c r="M45" s="25"/>
      <c r="N45" s="25"/>
      <c r="O45" s="25"/>
      <c r="P45" s="32">
        <v>61</v>
      </c>
      <c r="Q45" s="25">
        <f>-56+-4</f>
        <v>-60</v>
      </c>
      <c r="R45" s="25"/>
      <c r="S45" s="25"/>
      <c r="T45" s="25"/>
      <c r="U45" s="25"/>
      <c r="V45" s="25"/>
      <c r="W45" s="32">
        <f>140-9</f>
        <v>131</v>
      </c>
      <c r="X45" s="25"/>
      <c r="Y45" s="25">
        <v>-132</v>
      </c>
      <c r="Z45" s="25"/>
      <c r="AB45" s="25"/>
      <c r="AC45" s="25"/>
      <c r="AD45" s="25"/>
      <c r="AE45" s="32">
        <f>140-39</f>
        <v>101</v>
      </c>
      <c r="AF45" s="25">
        <v>-30</v>
      </c>
      <c r="AG45" s="25"/>
      <c r="AH45" s="25"/>
      <c r="AI45" s="35">
        <f t="shared" si="0"/>
        <v>71</v>
      </c>
    </row>
    <row r="46" spans="1:35" x14ac:dyDescent="0.25">
      <c r="A46" s="31" t="s">
        <v>100</v>
      </c>
      <c r="B46" s="20"/>
      <c r="C46" s="20" t="s">
        <v>108</v>
      </c>
      <c r="D46" s="11"/>
      <c r="E46" s="11"/>
      <c r="F46" s="34">
        <f>'Jan 2026'!AL46</f>
        <v>95</v>
      </c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35">
        <f t="shared" si="0"/>
        <v>95</v>
      </c>
    </row>
    <row r="47" spans="1:35" x14ac:dyDescent="0.25">
      <c r="A47" s="20" t="s">
        <v>101</v>
      </c>
      <c r="B47" s="20" t="s">
        <v>109</v>
      </c>
      <c r="C47" s="20" t="s">
        <v>110</v>
      </c>
      <c r="D47" s="11"/>
      <c r="E47" s="11"/>
      <c r="F47" s="34">
        <f>'Jan 2026'!AL47</f>
        <v>34</v>
      </c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>
        <v>-1</v>
      </c>
      <c r="AB47" s="25"/>
      <c r="AC47" s="25"/>
      <c r="AD47" s="25"/>
      <c r="AE47" s="25">
        <v>-6</v>
      </c>
      <c r="AF47" s="25"/>
      <c r="AG47" s="25"/>
      <c r="AH47" s="25"/>
      <c r="AI47" s="35">
        <f t="shared" si="0"/>
        <v>27</v>
      </c>
    </row>
    <row r="48" spans="1:35" x14ac:dyDescent="0.25">
      <c r="A48" s="11"/>
      <c r="B48" s="20"/>
      <c r="C48" s="20" t="s">
        <v>111</v>
      </c>
      <c r="D48" s="11"/>
      <c r="E48" s="11"/>
      <c r="F48" s="34">
        <f>'Jan 2026'!AL48</f>
        <v>187</v>
      </c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>
        <v>-21</v>
      </c>
      <c r="Z48" s="25">
        <v>-18</v>
      </c>
      <c r="AA48" s="25">
        <v>-14</v>
      </c>
      <c r="AB48" s="25"/>
      <c r="AC48" s="25"/>
      <c r="AD48" s="25"/>
      <c r="AE48" s="25"/>
      <c r="AF48" s="25">
        <v>-132</v>
      </c>
      <c r="AG48" s="37"/>
      <c r="AH48" s="25"/>
      <c r="AI48" s="35">
        <f t="shared" si="0"/>
        <v>2</v>
      </c>
    </row>
    <row r="49" spans="1:39" x14ac:dyDescent="0.25">
      <c r="A49" s="11"/>
      <c r="B49" s="20"/>
      <c r="C49" s="20" t="s">
        <v>113</v>
      </c>
      <c r="D49" s="11"/>
      <c r="E49" s="11"/>
      <c r="F49" s="34">
        <f>'Jan 2026'!AL49</f>
        <v>30</v>
      </c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>
        <v>-1</v>
      </c>
      <c r="Z49" s="25"/>
      <c r="AA49" s="25"/>
      <c r="AB49" s="25"/>
      <c r="AC49" s="25"/>
      <c r="AD49" s="25"/>
      <c r="AE49" s="25"/>
      <c r="AF49" s="25"/>
      <c r="AG49" s="25">
        <v>-1</v>
      </c>
      <c r="AH49" s="25"/>
      <c r="AI49" s="35">
        <f t="shared" si="0"/>
        <v>28</v>
      </c>
    </row>
    <row r="50" spans="1:39" x14ac:dyDescent="0.25">
      <c r="A50" s="11"/>
      <c r="B50" s="20"/>
      <c r="C50" s="20"/>
      <c r="D50" s="11"/>
      <c r="E50" s="11"/>
      <c r="F50" s="34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6"/>
    </row>
    <row r="51" spans="1:39" x14ac:dyDescent="0.25">
      <c r="A51" s="11"/>
      <c r="B51" s="20"/>
      <c r="C51" s="20"/>
      <c r="D51" s="11"/>
      <c r="E51" s="11"/>
      <c r="F51" s="34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6"/>
    </row>
    <row r="52" spans="1:39" x14ac:dyDescent="0.25">
      <c r="A52" s="11"/>
      <c r="B52" s="20"/>
      <c r="C52" s="2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6"/>
    </row>
    <row r="53" spans="1:39" x14ac:dyDescent="0.25">
      <c r="A53" s="11"/>
      <c r="B53" s="20"/>
      <c r="C53" s="2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6"/>
    </row>
    <row r="54" spans="1:39" ht="15.75" thickBot="1" x14ac:dyDescent="0.3">
      <c r="A54" s="1"/>
      <c r="B54" s="2"/>
      <c r="C54" s="2"/>
      <c r="D54" s="29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1"/>
      <c r="AJ54" s="1"/>
      <c r="AK54" s="1"/>
      <c r="AL54" s="1"/>
      <c r="AM54" s="1"/>
    </row>
    <row r="55" spans="1:39" ht="32.25" thickBot="1" x14ac:dyDescent="0.3">
      <c r="A55" s="1"/>
      <c r="B55" s="6" t="s">
        <v>21</v>
      </c>
      <c r="C55" s="18"/>
      <c r="D55" s="19"/>
      <c r="E55" s="9" t="s">
        <v>22</v>
      </c>
      <c r="F55" s="22" t="s">
        <v>23</v>
      </c>
      <c r="G55" s="27" t="s">
        <v>24</v>
      </c>
      <c r="H55" s="28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ht="16.5" thickBot="1" x14ac:dyDescent="0.3">
      <c r="A56" s="1"/>
      <c r="B56" s="7" t="s">
        <v>25</v>
      </c>
      <c r="C56" s="19"/>
      <c r="D56" s="19"/>
      <c r="E56" s="8"/>
      <c r="F56" s="21"/>
      <c r="G56" s="40"/>
      <c r="H56" s="4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 ht="32.25" thickBot="1" x14ac:dyDescent="0.3">
      <c r="A57" s="1"/>
      <c r="B57" s="7" t="s">
        <v>26</v>
      </c>
      <c r="C57" s="19"/>
      <c r="D57" s="19"/>
      <c r="E57" s="9"/>
      <c r="F57" s="22"/>
      <c r="G57" s="42"/>
      <c r="H57" s="43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 ht="16.5" thickBot="1" x14ac:dyDescent="0.3">
      <c r="A58" s="1"/>
      <c r="B58" s="7" t="s">
        <v>27</v>
      </c>
      <c r="C58" s="19"/>
      <c r="D58" s="19"/>
      <c r="E58" s="10"/>
      <c r="F58" s="23"/>
      <c r="G58" s="44"/>
      <c r="H58" s="45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 ht="15.75" x14ac:dyDescent="0.25">
      <c r="A59" s="1"/>
      <c r="B59" s="46" t="s">
        <v>28</v>
      </c>
      <c r="C59" s="16"/>
      <c r="D59" s="16"/>
      <c r="E59" s="49"/>
      <c r="F59" s="52"/>
      <c r="G59" s="55"/>
      <c r="H59" s="56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 ht="15.75" x14ac:dyDescent="0.25">
      <c r="A60" s="1"/>
      <c r="B60" s="47"/>
      <c r="C60" s="17"/>
      <c r="D60" s="17"/>
      <c r="E60" s="50"/>
      <c r="F60" s="53"/>
      <c r="G60" s="55"/>
      <c r="H60" s="56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 ht="16.5" thickBot="1" x14ac:dyDescent="0.3">
      <c r="A61" s="1"/>
      <c r="B61" s="48"/>
      <c r="C61" s="7"/>
      <c r="D61" s="7"/>
      <c r="E61" s="51"/>
      <c r="F61" s="54"/>
      <c r="G61" s="57"/>
      <c r="H61" s="58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 x14ac:dyDescent="0.25">
      <c r="A62" s="1"/>
      <c r="B62" s="2"/>
      <c r="C62" s="2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 x14ac:dyDescent="0.25">
      <c r="A63" s="1"/>
      <c r="B63" s="2"/>
      <c r="C63" s="2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 x14ac:dyDescent="0.25">
      <c r="A64" s="1"/>
      <c r="B64" s="2"/>
      <c r="C64" s="2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 x14ac:dyDescent="0.25">
      <c r="A65" s="1"/>
      <c r="B65" s="2"/>
      <c r="C65" s="2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 x14ac:dyDescent="0.25">
      <c r="A66" s="1"/>
      <c r="B66" s="2"/>
      <c r="C66" s="2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 x14ac:dyDescent="0.25">
      <c r="A67" s="1"/>
      <c r="B67" s="2"/>
      <c r="C67" s="2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 x14ac:dyDescent="0.25">
      <c r="A68" s="1"/>
      <c r="B68" s="2"/>
      <c r="C68" s="2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 x14ac:dyDescent="0.25">
      <c r="A69" s="1"/>
      <c r="B69" s="2"/>
      <c r="C69" s="2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 x14ac:dyDescent="0.25">
      <c r="A70" s="1"/>
      <c r="B70" s="2"/>
      <c r="C70" s="2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x14ac:dyDescent="0.25">
      <c r="A71" s="1"/>
      <c r="B71" s="2"/>
      <c r="C71" s="2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x14ac:dyDescent="0.25">
      <c r="A72" s="1"/>
      <c r="B72" s="2"/>
      <c r="C72" s="2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x14ac:dyDescent="0.25">
      <c r="A73" s="1"/>
      <c r="B73" s="2"/>
      <c r="C73" s="2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x14ac:dyDescent="0.25">
      <c r="A74" s="1"/>
      <c r="B74" s="2"/>
      <c r="C74" s="2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x14ac:dyDescent="0.25">
      <c r="A75" s="1"/>
      <c r="B75" s="2"/>
      <c r="C75" s="2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x14ac:dyDescent="0.25">
      <c r="A76" s="1"/>
      <c r="B76" s="2"/>
      <c r="C76" s="2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x14ac:dyDescent="0.25">
      <c r="A77" s="1"/>
      <c r="B77" s="2"/>
      <c r="C77" s="2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x14ac:dyDescent="0.25">
      <c r="A78" s="1"/>
      <c r="B78" s="2"/>
      <c r="C78" s="2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x14ac:dyDescent="0.25">
      <c r="A79" s="1"/>
      <c r="B79" s="2"/>
      <c r="C79" s="2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x14ac:dyDescent="0.25">
      <c r="A80" s="1"/>
      <c r="B80" s="2"/>
      <c r="C80" s="2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 x14ac:dyDescent="0.25">
      <c r="A81" s="1"/>
      <c r="B81" s="2"/>
      <c r="C81" s="2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x14ac:dyDescent="0.25">
      <c r="A82" s="1"/>
      <c r="B82" s="2"/>
      <c r="C82" s="2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 x14ac:dyDescent="0.25">
      <c r="A83" s="1"/>
      <c r="B83" s="2"/>
      <c r="C83" s="2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x14ac:dyDescent="0.25">
      <c r="A84" s="1"/>
      <c r="B84" s="2"/>
      <c r="C84" s="2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x14ac:dyDescent="0.25">
      <c r="A85" s="1"/>
      <c r="B85" s="2"/>
      <c r="C85" s="2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x14ac:dyDescent="0.25">
      <c r="A86" s="1"/>
      <c r="B86" s="2"/>
      <c r="C86" s="2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x14ac:dyDescent="0.25">
      <c r="A87" s="1"/>
      <c r="B87" s="2"/>
      <c r="C87" s="2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x14ac:dyDescent="0.25">
      <c r="A88" s="1"/>
      <c r="B88" s="2"/>
      <c r="C88" s="2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 x14ac:dyDescent="0.25">
      <c r="A89" s="1"/>
      <c r="B89" s="2"/>
      <c r="C89" s="2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</sheetData>
  <mergeCells count="24">
    <mergeCell ref="E1:Q1"/>
    <mergeCell ref="E2:Q2"/>
    <mergeCell ref="E3:Q3"/>
    <mergeCell ref="E4:Q4"/>
    <mergeCell ref="E5:G5"/>
    <mergeCell ref="H5:J5"/>
    <mergeCell ref="K5:L5"/>
    <mergeCell ref="N5:O5"/>
    <mergeCell ref="P5:Q5"/>
    <mergeCell ref="E6:G6"/>
    <mergeCell ref="H6:J6"/>
    <mergeCell ref="K6:L6"/>
    <mergeCell ref="M6:Q6"/>
    <mergeCell ref="E7:G7"/>
    <mergeCell ref="H7:J7"/>
    <mergeCell ref="K7:L7"/>
    <mergeCell ref="M7:Q7"/>
    <mergeCell ref="G56:H56"/>
    <mergeCell ref="G57:H57"/>
    <mergeCell ref="G58:H58"/>
    <mergeCell ref="B59:B61"/>
    <mergeCell ref="E59:E61"/>
    <mergeCell ref="F59:F61"/>
    <mergeCell ref="G59:H61"/>
  </mergeCells>
  <conditionalFormatting sqref="AI11:AI53">
    <cfRule type="cellIs" dxfId="8" priority="1" operator="greaterThan">
      <formula>#REF!</formula>
    </cfRule>
    <cfRule type="cellIs" dxfId="7" priority="2" operator="between">
      <formula>11</formula>
      <formula>50</formula>
    </cfRule>
    <cfRule type="cellIs" dxfId="6" priority="3" operator="lessThan">
      <formula>#REF!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A7548-94D0-48AF-BF2F-CBC098975B96}">
  <sheetPr codeName="Sheet3"/>
  <dimension ref="A1:AP63"/>
  <sheetViews>
    <sheetView workbookViewId="0">
      <pane xSplit="4" ySplit="10" topLeftCell="E41" activePane="bottomRight" state="frozen"/>
      <selection pane="topRight" activeCell="E1" sqref="E1"/>
      <selection pane="bottomLeft" activeCell="A11" sqref="A11"/>
      <selection pane="bottomRight" activeCell="A48" sqref="A48"/>
    </sheetView>
  </sheetViews>
  <sheetFormatPr defaultRowHeight="15" x14ac:dyDescent="0.25"/>
  <cols>
    <col min="2" max="2" width="12" bestFit="1" customWidth="1"/>
    <col min="3" max="3" width="47.140625" bestFit="1" customWidth="1"/>
  </cols>
  <sheetData>
    <row r="1" spans="1:42" ht="22.5" x14ac:dyDescent="0.25">
      <c r="E1" s="64" t="s">
        <v>29</v>
      </c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</row>
    <row r="2" spans="1:42" x14ac:dyDescent="0.25">
      <c r="E2" s="65" t="s">
        <v>30</v>
      </c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7"/>
    </row>
    <row r="3" spans="1:42" ht="15.75" x14ac:dyDescent="0.25">
      <c r="E3" s="68" t="s">
        <v>0</v>
      </c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</row>
    <row r="4" spans="1:42" x14ac:dyDescent="0.25">
      <c r="E4" s="69" t="s">
        <v>1</v>
      </c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</row>
    <row r="5" spans="1:42" ht="15.75" x14ac:dyDescent="0.25">
      <c r="E5" s="59" t="s">
        <v>2</v>
      </c>
      <c r="F5" s="59"/>
      <c r="G5" s="59"/>
      <c r="H5" s="70" t="s">
        <v>3</v>
      </c>
      <c r="I5" s="71"/>
      <c r="J5" s="72"/>
      <c r="K5" s="61" t="s">
        <v>4</v>
      </c>
      <c r="L5" s="61"/>
      <c r="M5" s="11">
        <v>0</v>
      </c>
      <c r="N5" s="73" t="s">
        <v>5</v>
      </c>
      <c r="O5" s="73"/>
      <c r="P5" s="74"/>
      <c r="Q5" s="75"/>
    </row>
    <row r="6" spans="1:42" ht="15.75" x14ac:dyDescent="0.25">
      <c r="E6" s="59" t="s">
        <v>6</v>
      </c>
      <c r="F6" s="59"/>
      <c r="G6" s="59"/>
      <c r="H6" s="60" t="s">
        <v>7</v>
      </c>
      <c r="I6" s="60"/>
      <c r="J6" s="60"/>
      <c r="K6" s="61" t="s">
        <v>8</v>
      </c>
      <c r="L6" s="61"/>
      <c r="M6" s="62" t="s">
        <v>9</v>
      </c>
      <c r="N6" s="62"/>
      <c r="O6" s="62"/>
      <c r="P6" s="62"/>
      <c r="Q6" s="62"/>
    </row>
    <row r="7" spans="1:42" ht="15.75" x14ac:dyDescent="0.25">
      <c r="E7" s="61" t="s">
        <v>10</v>
      </c>
      <c r="F7" s="61"/>
      <c r="G7" s="61"/>
      <c r="H7" s="63"/>
      <c r="I7" s="63"/>
      <c r="J7" s="63"/>
      <c r="K7" s="61" t="s">
        <v>11</v>
      </c>
      <c r="L7" s="61"/>
      <c r="M7" s="62"/>
      <c r="N7" s="62"/>
      <c r="O7" s="62"/>
      <c r="P7" s="62"/>
      <c r="Q7" s="62"/>
    </row>
    <row r="9" spans="1:42" x14ac:dyDescent="0.25">
      <c r="A9" t="s">
        <v>12</v>
      </c>
    </row>
    <row r="10" spans="1:42" ht="26.25" x14ac:dyDescent="0.25">
      <c r="A10" s="24" t="s">
        <v>13</v>
      </c>
      <c r="B10" s="4" t="s">
        <v>14</v>
      </c>
      <c r="C10" s="4" t="s">
        <v>15</v>
      </c>
      <c r="D10" s="4" t="s">
        <v>16</v>
      </c>
      <c r="E10" s="5" t="s">
        <v>17</v>
      </c>
      <c r="F10" s="12" t="s">
        <v>112</v>
      </c>
      <c r="G10" s="33">
        <v>46082</v>
      </c>
      <c r="H10" s="33">
        <v>46083</v>
      </c>
      <c r="I10" s="33">
        <v>46084</v>
      </c>
      <c r="J10" s="33">
        <v>46085</v>
      </c>
      <c r="K10" s="33">
        <v>46086</v>
      </c>
      <c r="L10" s="33">
        <v>46087</v>
      </c>
      <c r="M10" s="33">
        <v>46088</v>
      </c>
      <c r="N10" s="33">
        <v>46089</v>
      </c>
      <c r="O10" s="33">
        <v>46090</v>
      </c>
      <c r="P10" s="33">
        <v>46091</v>
      </c>
      <c r="Q10" s="33">
        <v>46092</v>
      </c>
      <c r="R10" s="33">
        <v>46093</v>
      </c>
      <c r="S10" s="33">
        <v>46094</v>
      </c>
      <c r="T10" s="33">
        <v>46095</v>
      </c>
      <c r="U10" s="33">
        <v>46096</v>
      </c>
      <c r="V10" s="33">
        <v>46097</v>
      </c>
      <c r="W10" s="33">
        <v>46098</v>
      </c>
      <c r="X10" s="33">
        <v>46099</v>
      </c>
      <c r="Y10" s="33">
        <v>46100</v>
      </c>
      <c r="Z10" s="33">
        <v>46101</v>
      </c>
      <c r="AA10" s="33">
        <v>46102</v>
      </c>
      <c r="AB10" s="33">
        <v>46103</v>
      </c>
      <c r="AC10" s="33">
        <v>46104</v>
      </c>
      <c r="AD10" s="33">
        <v>46105</v>
      </c>
      <c r="AE10" s="33">
        <v>46106</v>
      </c>
      <c r="AF10" s="33">
        <v>46107</v>
      </c>
      <c r="AG10" s="33">
        <v>46108</v>
      </c>
      <c r="AH10" s="33">
        <v>46109</v>
      </c>
      <c r="AI10" s="33">
        <v>46110</v>
      </c>
      <c r="AJ10" s="33">
        <v>46111</v>
      </c>
      <c r="AK10" s="33">
        <v>46112</v>
      </c>
      <c r="AL10" s="12" t="s">
        <v>114</v>
      </c>
      <c r="AM10" s="3" t="s">
        <v>18</v>
      </c>
      <c r="AN10" s="3" t="s">
        <v>19</v>
      </c>
      <c r="AO10" s="3" t="s">
        <v>20</v>
      </c>
      <c r="AP10" s="14"/>
    </row>
    <row r="11" spans="1:42" x14ac:dyDescent="0.25">
      <c r="A11" s="11" t="s">
        <v>97</v>
      </c>
      <c r="B11" s="20" t="s">
        <v>31</v>
      </c>
      <c r="C11" s="20" t="s">
        <v>32</v>
      </c>
      <c r="D11" s="11"/>
      <c r="E11" s="11"/>
      <c r="F11" s="36">
        <f>'Feb 2026'!AI11</f>
        <v>1511</v>
      </c>
      <c r="G11" s="25"/>
      <c r="H11" s="25"/>
      <c r="I11" s="25"/>
      <c r="J11" s="25"/>
      <c r="K11" s="25"/>
      <c r="L11" s="25">
        <f>-80+-112</f>
        <v>-192</v>
      </c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>
        <v>-160</v>
      </c>
      <c r="AA11" s="25"/>
      <c r="AB11" s="25"/>
      <c r="AC11" s="25"/>
      <c r="AD11" s="25"/>
      <c r="AE11" s="25">
        <v>-184</v>
      </c>
      <c r="AF11" s="25"/>
      <c r="AG11" s="25"/>
      <c r="AH11" s="25"/>
      <c r="AI11" s="25"/>
      <c r="AJ11" s="25"/>
      <c r="AK11" s="25"/>
      <c r="AL11" s="35">
        <f>F11+SUM(G11:AK11)</f>
        <v>975</v>
      </c>
      <c r="AM11">
        <v>200</v>
      </c>
      <c r="AN11">
        <v>250</v>
      </c>
      <c r="AO11">
        <v>1000</v>
      </c>
    </row>
    <row r="12" spans="1:42" x14ac:dyDescent="0.25">
      <c r="A12" s="11" t="s">
        <v>98</v>
      </c>
      <c r="B12" s="20" t="s">
        <v>33</v>
      </c>
      <c r="C12" s="20" t="s">
        <v>34</v>
      </c>
      <c r="D12" s="11"/>
      <c r="E12" s="11"/>
      <c r="F12" s="36">
        <f>'Feb 2026'!AI12</f>
        <v>577</v>
      </c>
      <c r="G12" s="25"/>
      <c r="H12" s="25">
        <v>-3</v>
      </c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>
        <v>-1</v>
      </c>
      <c r="AI12" s="25"/>
      <c r="AJ12" s="25"/>
      <c r="AK12" s="25"/>
      <c r="AL12" s="35">
        <f t="shared" ref="AL12:AL49" si="0">F12+SUM(G12:AK12)</f>
        <v>573</v>
      </c>
      <c r="AM12">
        <v>50</v>
      </c>
      <c r="AN12">
        <v>100</v>
      </c>
      <c r="AO12">
        <v>150</v>
      </c>
    </row>
    <row r="13" spans="1:42" x14ac:dyDescent="0.25">
      <c r="A13" s="11" t="s">
        <v>98</v>
      </c>
      <c r="B13" s="20" t="s">
        <v>35</v>
      </c>
      <c r="C13" s="20" t="s">
        <v>36</v>
      </c>
      <c r="D13" s="11"/>
      <c r="E13" s="11"/>
      <c r="F13" s="36">
        <f>'Feb 2026'!AI13</f>
        <v>269</v>
      </c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I13" s="25"/>
      <c r="AJ13" s="25"/>
      <c r="AK13" s="25"/>
      <c r="AL13" s="35">
        <f t="shared" si="0"/>
        <v>269</v>
      </c>
      <c r="AM13">
        <v>50</v>
      </c>
      <c r="AN13">
        <v>100</v>
      </c>
      <c r="AO13">
        <v>150</v>
      </c>
    </row>
    <row r="14" spans="1:42" x14ac:dyDescent="0.25">
      <c r="A14" s="11" t="s">
        <v>97</v>
      </c>
      <c r="B14" s="20" t="s">
        <v>37</v>
      </c>
      <c r="C14" s="20" t="s">
        <v>38</v>
      </c>
      <c r="D14" s="11"/>
      <c r="E14" s="11"/>
      <c r="F14" s="36">
        <f>'Feb 2026'!AI14</f>
        <v>1768</v>
      </c>
      <c r="G14" s="25"/>
      <c r="H14" s="25"/>
      <c r="I14" s="25"/>
      <c r="J14" s="25"/>
      <c r="K14" s="25">
        <f>-92+-56+-90</f>
        <v>-238</v>
      </c>
      <c r="L14" s="25">
        <f>-80+-112</f>
        <v>-192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>
        <v>-150</v>
      </c>
      <c r="AE14" s="25">
        <v>-184</v>
      </c>
      <c r="AF14" s="25">
        <v>-168</v>
      </c>
      <c r="AG14" s="25"/>
      <c r="AH14" s="25"/>
      <c r="AI14" s="25"/>
      <c r="AJ14" s="25"/>
      <c r="AK14" s="25"/>
      <c r="AL14" s="35">
        <f t="shared" si="0"/>
        <v>836</v>
      </c>
      <c r="AM14">
        <v>200</v>
      </c>
      <c r="AN14">
        <v>250</v>
      </c>
      <c r="AO14">
        <v>1000</v>
      </c>
    </row>
    <row r="15" spans="1:42" x14ac:dyDescent="0.25">
      <c r="A15" s="11" t="s">
        <v>98</v>
      </c>
      <c r="B15" s="20" t="s">
        <v>39</v>
      </c>
      <c r="C15" s="20" t="s">
        <v>40</v>
      </c>
      <c r="D15" s="11"/>
      <c r="E15" s="11"/>
      <c r="F15" s="36">
        <f>'Feb 2026'!AI15</f>
        <v>726</v>
      </c>
      <c r="G15" s="25"/>
      <c r="H15" s="25"/>
      <c r="I15" s="25"/>
      <c r="J15" s="25">
        <v>-8</v>
      </c>
      <c r="K15" s="25">
        <f>-14+-23+-20</f>
        <v>-57</v>
      </c>
      <c r="L15" s="25">
        <f>-10+-14</f>
        <v>-24</v>
      </c>
      <c r="M15" s="25"/>
      <c r="N15" s="25"/>
      <c r="O15" s="25"/>
      <c r="P15" s="25"/>
      <c r="Q15" s="25">
        <f>-1+-3</f>
        <v>-4</v>
      </c>
      <c r="R15" s="25"/>
      <c r="S15" s="25"/>
      <c r="T15" s="25"/>
      <c r="U15" s="25"/>
      <c r="V15" s="25"/>
      <c r="W15" s="25">
        <v>-3</v>
      </c>
      <c r="X15" s="25"/>
      <c r="Y15" s="25"/>
      <c r="Z15" s="25"/>
      <c r="AA15" s="25">
        <v>-1</v>
      </c>
      <c r="AB15" s="25"/>
      <c r="AC15" s="25"/>
      <c r="AD15" s="25"/>
      <c r="AE15" s="25">
        <v>-23</v>
      </c>
      <c r="AF15" s="25">
        <f>-42+-1</f>
        <v>-43</v>
      </c>
      <c r="AG15" s="25"/>
      <c r="AH15" s="25">
        <v>-1</v>
      </c>
      <c r="AI15" s="25"/>
      <c r="AJ15" s="25">
        <v>-2</v>
      </c>
      <c r="AK15" s="25"/>
      <c r="AL15" s="35">
        <f t="shared" si="0"/>
        <v>560</v>
      </c>
      <c r="AM15">
        <v>200</v>
      </c>
      <c r="AN15">
        <v>250</v>
      </c>
      <c r="AO15">
        <v>1000</v>
      </c>
    </row>
    <row r="16" spans="1:42" x14ac:dyDescent="0.25">
      <c r="A16" s="11" t="s">
        <v>97</v>
      </c>
      <c r="B16" s="20" t="s">
        <v>41</v>
      </c>
      <c r="C16" s="20" t="s">
        <v>42</v>
      </c>
      <c r="D16" s="11"/>
      <c r="E16" s="11"/>
      <c r="F16" s="36">
        <f>'Feb 2026'!AI16</f>
        <v>1252</v>
      </c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32"/>
      <c r="AL16" s="35">
        <f t="shared" si="0"/>
        <v>1252</v>
      </c>
      <c r="AM16">
        <v>100</v>
      </c>
      <c r="AN16">
        <v>150</v>
      </c>
      <c r="AO16">
        <v>500</v>
      </c>
    </row>
    <row r="17" spans="1:42" x14ac:dyDescent="0.25">
      <c r="A17" s="11" t="s">
        <v>97</v>
      </c>
      <c r="B17" s="20" t="s">
        <v>43</v>
      </c>
      <c r="C17" s="20" t="s">
        <v>44</v>
      </c>
      <c r="D17" s="11"/>
      <c r="E17" s="11"/>
      <c r="F17" s="36">
        <f>'Feb 2026'!AI17</f>
        <v>169</v>
      </c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>
        <v>-134</v>
      </c>
      <c r="AK17" s="25"/>
      <c r="AL17" s="35">
        <f t="shared" si="0"/>
        <v>35</v>
      </c>
      <c r="AM17">
        <v>200</v>
      </c>
      <c r="AN17">
        <v>250</v>
      </c>
      <c r="AO17">
        <v>1000</v>
      </c>
    </row>
    <row r="18" spans="1:42" x14ac:dyDescent="0.25">
      <c r="A18" s="11" t="s">
        <v>97</v>
      </c>
      <c r="B18" s="20" t="s">
        <v>45</v>
      </c>
      <c r="C18" s="20" t="s">
        <v>46</v>
      </c>
      <c r="D18" s="11"/>
      <c r="E18" s="11"/>
      <c r="F18" s="36">
        <f>'Feb 2026'!AI18</f>
        <v>2139</v>
      </c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35">
        <f t="shared" si="0"/>
        <v>2139</v>
      </c>
      <c r="AP18" t="s">
        <v>115</v>
      </c>
    </row>
    <row r="19" spans="1:42" x14ac:dyDescent="0.25">
      <c r="A19" s="11" t="s">
        <v>99</v>
      </c>
      <c r="B19" s="20" t="s">
        <v>47</v>
      </c>
      <c r="C19" s="20" t="s">
        <v>48</v>
      </c>
      <c r="D19" s="11"/>
      <c r="E19" s="11"/>
      <c r="F19" s="36">
        <f>'Feb 2026'!AI19</f>
        <v>258</v>
      </c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35">
        <f t="shared" si="0"/>
        <v>258</v>
      </c>
      <c r="AP19" t="s">
        <v>115</v>
      </c>
    </row>
    <row r="20" spans="1:42" x14ac:dyDescent="0.25">
      <c r="A20" s="11" t="s">
        <v>99</v>
      </c>
      <c r="B20" s="20" t="s">
        <v>49</v>
      </c>
      <c r="C20" s="20" t="s">
        <v>50</v>
      </c>
      <c r="D20" s="11"/>
      <c r="E20" s="11"/>
      <c r="F20" s="36">
        <f>'Feb 2026'!AI20</f>
        <v>1287</v>
      </c>
      <c r="G20" s="25"/>
      <c r="H20" s="25">
        <v>-3</v>
      </c>
      <c r="I20" s="25"/>
      <c r="J20" s="25"/>
      <c r="K20" s="25">
        <f>-14+-23</f>
        <v>-37</v>
      </c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>
        <v>-42</v>
      </c>
      <c r="AG20" s="25"/>
      <c r="AH20" s="25"/>
      <c r="AI20" s="25"/>
      <c r="AJ20" s="25">
        <f>-2+-50</f>
        <v>-52</v>
      </c>
      <c r="AK20" s="25"/>
      <c r="AL20" s="35">
        <f t="shared" si="0"/>
        <v>1153</v>
      </c>
      <c r="AM20">
        <v>50</v>
      </c>
      <c r="AN20">
        <v>75</v>
      </c>
      <c r="AO20">
        <v>200</v>
      </c>
    </row>
    <row r="21" spans="1:42" x14ac:dyDescent="0.25">
      <c r="A21" s="11" t="s">
        <v>100</v>
      </c>
      <c r="B21" s="20" t="s">
        <v>51</v>
      </c>
      <c r="C21" s="20" t="s">
        <v>52</v>
      </c>
      <c r="D21" s="11"/>
      <c r="E21" s="11"/>
      <c r="F21" s="36">
        <f>'Feb 2026'!AI21</f>
        <v>94</v>
      </c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35">
        <f t="shared" si="0"/>
        <v>94</v>
      </c>
      <c r="AP21" t="s">
        <v>115</v>
      </c>
    </row>
    <row r="22" spans="1:42" x14ac:dyDescent="0.25">
      <c r="A22" s="11" t="s">
        <v>100</v>
      </c>
      <c r="B22" s="20" t="s">
        <v>53</v>
      </c>
      <c r="C22" s="20" t="s">
        <v>54</v>
      </c>
      <c r="D22" s="11"/>
      <c r="E22" s="11"/>
      <c r="F22" s="36">
        <f>'Feb 2026'!AI22</f>
        <v>54</v>
      </c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35">
        <f t="shared" si="0"/>
        <v>54</v>
      </c>
      <c r="AP22" t="s">
        <v>115</v>
      </c>
    </row>
    <row r="23" spans="1:42" x14ac:dyDescent="0.25">
      <c r="A23" s="11" t="s">
        <v>100</v>
      </c>
      <c r="B23" s="20" t="s">
        <v>55</v>
      </c>
      <c r="C23" s="20" t="s">
        <v>56</v>
      </c>
      <c r="D23" s="11"/>
      <c r="E23" s="11"/>
      <c r="F23" s="36">
        <f>'Feb 2026'!AI23</f>
        <v>78</v>
      </c>
      <c r="G23" s="25"/>
      <c r="H23" s="25">
        <v>-3</v>
      </c>
      <c r="I23" s="25"/>
      <c r="J23" s="25"/>
      <c r="K23" s="25">
        <f>-14+-23</f>
        <v>-37</v>
      </c>
      <c r="L23" s="25"/>
      <c r="M23" s="32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>
        <v>-50</v>
      </c>
      <c r="AE23" s="25"/>
      <c r="AF23" s="25">
        <v>-42</v>
      </c>
      <c r="AG23" s="25"/>
      <c r="AH23" s="25"/>
      <c r="AI23" s="25"/>
      <c r="AJ23" s="25">
        <v>-2</v>
      </c>
      <c r="AK23" s="25"/>
      <c r="AL23" s="35">
        <f t="shared" si="0"/>
        <v>-56</v>
      </c>
      <c r="AM23">
        <v>50</v>
      </c>
      <c r="AN23">
        <v>75</v>
      </c>
      <c r="AO23">
        <v>200</v>
      </c>
    </row>
    <row r="24" spans="1:42" x14ac:dyDescent="0.25">
      <c r="A24" s="11" t="s">
        <v>99</v>
      </c>
      <c r="B24" s="20" t="s">
        <v>57</v>
      </c>
      <c r="C24" s="20" t="s">
        <v>58</v>
      </c>
      <c r="D24" s="11"/>
      <c r="E24" s="11"/>
      <c r="F24" s="36">
        <f>'Feb 2026'!AI24</f>
        <v>374</v>
      </c>
      <c r="G24" s="25"/>
      <c r="H24" s="25"/>
      <c r="I24" s="25">
        <v>-86</v>
      </c>
      <c r="J24" s="25"/>
      <c r="K24" s="25"/>
      <c r="L24" s="25"/>
      <c r="M24" s="25"/>
      <c r="N24" s="25"/>
      <c r="O24" s="25"/>
      <c r="P24" s="25"/>
      <c r="Q24" s="25">
        <v>-38</v>
      </c>
      <c r="R24" s="32">
        <v>200</v>
      </c>
      <c r="S24" s="25">
        <v>-5</v>
      </c>
      <c r="T24" s="25"/>
      <c r="U24" s="25"/>
      <c r="V24" s="25">
        <v>-16</v>
      </c>
      <c r="W24" s="25">
        <v>-58</v>
      </c>
      <c r="X24" s="25"/>
      <c r="Y24" s="25"/>
      <c r="Z24" s="25">
        <v>-148</v>
      </c>
      <c r="AA24" s="25">
        <v>-12</v>
      </c>
      <c r="AB24" s="25"/>
      <c r="AC24" s="25"/>
      <c r="AD24" s="25">
        <v>-20</v>
      </c>
      <c r="AE24" s="25"/>
      <c r="AF24" s="25"/>
      <c r="AG24" s="25">
        <v>-2</v>
      </c>
      <c r="AH24" s="25"/>
      <c r="AI24" s="25"/>
      <c r="AJ24" s="25">
        <f>-4+-2</f>
        <v>-6</v>
      </c>
      <c r="AK24" s="32"/>
      <c r="AL24" s="35">
        <f t="shared" si="0"/>
        <v>183</v>
      </c>
      <c r="AM24">
        <v>100</v>
      </c>
      <c r="AN24">
        <v>150</v>
      </c>
      <c r="AO24">
        <v>1000</v>
      </c>
    </row>
    <row r="25" spans="1:42" x14ac:dyDescent="0.25">
      <c r="A25" s="11" t="s">
        <v>99</v>
      </c>
      <c r="B25" s="20" t="s">
        <v>59</v>
      </c>
      <c r="C25" s="20" t="s">
        <v>60</v>
      </c>
      <c r="D25" s="11"/>
      <c r="E25" s="11"/>
      <c r="F25" s="36">
        <f>'Feb 2026'!AI25</f>
        <v>17</v>
      </c>
      <c r="G25" s="25"/>
      <c r="H25" s="25">
        <v>-1</v>
      </c>
      <c r="I25" s="25"/>
      <c r="J25" s="25">
        <v>-8</v>
      </c>
      <c r="K25" s="25"/>
      <c r="L25" s="25"/>
      <c r="M25" s="25"/>
      <c r="N25" s="25"/>
      <c r="O25" s="25"/>
      <c r="P25" s="25"/>
      <c r="Q25" s="25">
        <f>-1+-8+-3</f>
        <v>-12</v>
      </c>
      <c r="R25" s="25"/>
      <c r="S25" s="25"/>
      <c r="T25" s="25"/>
      <c r="U25" s="25"/>
      <c r="V25" s="25">
        <v>-1</v>
      </c>
      <c r="W25" s="25">
        <v>-3</v>
      </c>
      <c r="X25" s="25"/>
      <c r="Y25" s="25"/>
      <c r="Z25" s="32"/>
      <c r="AA25" s="25">
        <v>-1</v>
      </c>
      <c r="AB25" s="25"/>
      <c r="AC25" s="25"/>
      <c r="AD25" s="25"/>
      <c r="AE25" s="25"/>
      <c r="AF25" s="25">
        <v>-1</v>
      </c>
      <c r="AG25" s="25"/>
      <c r="AH25" s="25"/>
      <c r="AI25" s="25"/>
      <c r="AJ25" s="25"/>
      <c r="AK25" s="25"/>
      <c r="AL25" s="35">
        <f t="shared" si="0"/>
        <v>-10</v>
      </c>
      <c r="AM25">
        <v>50</v>
      </c>
      <c r="AN25">
        <v>75</v>
      </c>
      <c r="AO25">
        <v>100</v>
      </c>
    </row>
    <row r="26" spans="1:42" x14ac:dyDescent="0.25">
      <c r="A26" s="11" t="s">
        <v>100</v>
      </c>
      <c r="B26" s="20" t="s">
        <v>61</v>
      </c>
      <c r="C26" s="20" t="s">
        <v>62</v>
      </c>
      <c r="D26" s="11"/>
      <c r="E26" s="11"/>
      <c r="F26" s="36">
        <f>'Feb 2026'!AI26</f>
        <v>57</v>
      </c>
      <c r="G26" s="25"/>
      <c r="H26" s="25">
        <v>-6</v>
      </c>
      <c r="I26" s="25">
        <f>-86+-21</f>
        <v>-107</v>
      </c>
      <c r="J26" s="25"/>
      <c r="K26" s="25"/>
      <c r="L26" s="25">
        <f>-45+-30</f>
        <v>-75</v>
      </c>
      <c r="M26" s="25">
        <v>-74</v>
      </c>
      <c r="N26" s="25"/>
      <c r="O26" s="25"/>
      <c r="P26" s="25"/>
      <c r="Q26" s="25">
        <v>-38</v>
      </c>
      <c r="R26" s="32">
        <v>200</v>
      </c>
      <c r="S26" s="25"/>
      <c r="T26" s="25"/>
      <c r="U26" s="25"/>
      <c r="V26" s="25">
        <v>-16</v>
      </c>
      <c r="W26" s="25">
        <v>-58</v>
      </c>
      <c r="X26" s="25"/>
      <c r="Y26" s="25"/>
      <c r="Z26" s="25">
        <v>-77</v>
      </c>
      <c r="AA26" s="25">
        <v>-12</v>
      </c>
      <c r="AB26" s="25"/>
      <c r="AC26" s="25"/>
      <c r="AD26" s="25"/>
      <c r="AE26" s="25"/>
      <c r="AF26" s="25"/>
      <c r="AG26" s="25"/>
      <c r="AH26" s="25"/>
      <c r="AI26" s="25"/>
      <c r="AJ26" s="25">
        <f>-4+-2</f>
        <v>-6</v>
      </c>
      <c r="AK26" s="25"/>
      <c r="AL26" s="35">
        <f t="shared" si="0"/>
        <v>-212</v>
      </c>
      <c r="AM26">
        <v>100</v>
      </c>
      <c r="AN26">
        <v>150</v>
      </c>
      <c r="AO26">
        <v>1000</v>
      </c>
    </row>
    <row r="27" spans="1:42" x14ac:dyDescent="0.25">
      <c r="A27" s="11" t="s">
        <v>100</v>
      </c>
      <c r="B27" s="20" t="s">
        <v>63</v>
      </c>
      <c r="C27" s="20" t="s">
        <v>64</v>
      </c>
      <c r="D27" s="11"/>
      <c r="E27" s="11"/>
      <c r="F27" s="36">
        <f>'Feb 2026'!AI27</f>
        <v>223</v>
      </c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>
        <v>-8</v>
      </c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K27" s="25">
        <v>-12</v>
      </c>
      <c r="AL27" s="35">
        <f>F27+SUM(G27:AK27)</f>
        <v>203</v>
      </c>
      <c r="AM27">
        <v>50</v>
      </c>
      <c r="AN27">
        <v>75</v>
      </c>
      <c r="AO27">
        <v>100</v>
      </c>
    </row>
    <row r="28" spans="1:42" x14ac:dyDescent="0.25">
      <c r="A28" s="11" t="s">
        <v>100</v>
      </c>
      <c r="B28" s="20" t="s">
        <v>65</v>
      </c>
      <c r="C28" s="20" t="s">
        <v>66</v>
      </c>
      <c r="D28" s="11"/>
      <c r="E28" s="11"/>
      <c r="F28" s="36">
        <f>'Feb 2026'!AI28</f>
        <v>86</v>
      </c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35">
        <f t="shared" si="0"/>
        <v>86</v>
      </c>
      <c r="AP28" t="s">
        <v>115</v>
      </c>
    </row>
    <row r="29" spans="1:42" x14ac:dyDescent="0.25">
      <c r="A29" s="11" t="s">
        <v>100</v>
      </c>
      <c r="B29" s="20" t="s">
        <v>67</v>
      </c>
      <c r="C29" s="20" t="s">
        <v>68</v>
      </c>
      <c r="D29" s="11"/>
      <c r="E29" s="11"/>
      <c r="F29" s="36">
        <f>'Feb 2026'!AI29</f>
        <v>34</v>
      </c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35">
        <f t="shared" si="0"/>
        <v>34</v>
      </c>
      <c r="AP29" t="s">
        <v>115</v>
      </c>
    </row>
    <row r="30" spans="1:42" x14ac:dyDescent="0.25">
      <c r="A30" s="11" t="s">
        <v>99</v>
      </c>
      <c r="B30" s="20" t="s">
        <v>69</v>
      </c>
      <c r="C30" s="20" t="s">
        <v>70</v>
      </c>
      <c r="D30" s="11"/>
      <c r="E30" s="11"/>
      <c r="F30" s="36">
        <f>'Feb 2026'!AI30</f>
        <v>244</v>
      </c>
      <c r="G30" s="25"/>
      <c r="H30" s="25"/>
      <c r="I30" s="25"/>
      <c r="J30" s="25"/>
      <c r="K30" s="25"/>
      <c r="L30" s="25"/>
      <c r="M30" s="25">
        <f>-29+-21</f>
        <v>-50</v>
      </c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>
        <v>-74</v>
      </c>
      <c r="AA30" s="25"/>
      <c r="AB30" s="25"/>
      <c r="AC30" s="25"/>
      <c r="AD30" s="25"/>
      <c r="AE30" s="25"/>
      <c r="AF30" s="25"/>
      <c r="AG30" s="25"/>
      <c r="AH30" s="25"/>
      <c r="AI30" s="25"/>
      <c r="AJ30" s="25">
        <f>-2+-25</f>
        <v>-27</v>
      </c>
      <c r="AK30" s="25"/>
      <c r="AL30" s="35">
        <f t="shared" si="0"/>
        <v>93</v>
      </c>
      <c r="AM30">
        <v>100</v>
      </c>
      <c r="AN30">
        <v>150</v>
      </c>
      <c r="AO30">
        <v>500</v>
      </c>
    </row>
    <row r="31" spans="1:42" x14ac:dyDescent="0.25">
      <c r="A31" s="11" t="s">
        <v>99</v>
      </c>
      <c r="B31" s="20" t="s">
        <v>71</v>
      </c>
      <c r="C31" s="20" t="s">
        <v>72</v>
      </c>
      <c r="D31" s="11"/>
      <c r="E31" s="11"/>
      <c r="F31" s="36">
        <f>'Feb 2026'!AI31</f>
        <v>246</v>
      </c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35">
        <f t="shared" si="0"/>
        <v>246</v>
      </c>
      <c r="AP31" t="s">
        <v>115</v>
      </c>
    </row>
    <row r="32" spans="1:42" x14ac:dyDescent="0.25">
      <c r="A32" s="11" t="s">
        <v>100</v>
      </c>
      <c r="B32" s="20" t="s">
        <v>73</v>
      </c>
      <c r="C32" s="20" t="s">
        <v>74</v>
      </c>
      <c r="D32" s="11"/>
      <c r="E32" s="11"/>
      <c r="F32" s="36">
        <f>'Feb 2026'!AI32</f>
        <v>244</v>
      </c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>
        <v>-74</v>
      </c>
      <c r="AA32" s="32"/>
      <c r="AB32" s="25"/>
      <c r="AC32" s="25"/>
      <c r="AD32" s="25">
        <v>-2</v>
      </c>
      <c r="AE32" s="25"/>
      <c r="AF32" s="25"/>
      <c r="AG32" s="25"/>
      <c r="AH32" s="25"/>
      <c r="AI32" s="25"/>
      <c r="AJ32" s="25">
        <v>-2</v>
      </c>
      <c r="AK32" s="25"/>
      <c r="AL32" s="35">
        <f t="shared" si="0"/>
        <v>166</v>
      </c>
      <c r="AM32">
        <v>100</v>
      </c>
      <c r="AN32">
        <v>150</v>
      </c>
      <c r="AO32">
        <v>500</v>
      </c>
    </row>
    <row r="33" spans="1:42" x14ac:dyDescent="0.25">
      <c r="A33" s="11" t="s">
        <v>100</v>
      </c>
      <c r="B33" s="20" t="s">
        <v>75</v>
      </c>
      <c r="C33" s="20" t="s">
        <v>76</v>
      </c>
      <c r="D33" s="11"/>
      <c r="E33" s="11"/>
      <c r="F33" s="36">
        <f>'Feb 2026'!AI33</f>
        <v>145</v>
      </c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35">
        <f t="shared" si="0"/>
        <v>145</v>
      </c>
      <c r="AP33" t="s">
        <v>115</v>
      </c>
    </row>
    <row r="34" spans="1:42" x14ac:dyDescent="0.25">
      <c r="A34" s="11" t="s">
        <v>99</v>
      </c>
      <c r="B34" s="20" t="s">
        <v>77</v>
      </c>
      <c r="C34" s="20" t="s">
        <v>78</v>
      </c>
      <c r="D34" s="11"/>
      <c r="E34" s="11"/>
      <c r="F34" s="36">
        <f>'Feb 2026'!AI34</f>
        <v>38</v>
      </c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35">
        <f t="shared" si="0"/>
        <v>38</v>
      </c>
      <c r="AP34" t="s">
        <v>115</v>
      </c>
    </row>
    <row r="35" spans="1:42" x14ac:dyDescent="0.25">
      <c r="A35" s="11" t="s">
        <v>100</v>
      </c>
      <c r="B35" s="20" t="s">
        <v>79</v>
      </c>
      <c r="C35" s="20" t="s">
        <v>80</v>
      </c>
      <c r="D35" s="11"/>
      <c r="E35" s="11"/>
      <c r="F35" s="36">
        <f>'Feb 2026'!AI35</f>
        <v>8</v>
      </c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35">
        <f t="shared" si="0"/>
        <v>8</v>
      </c>
      <c r="AP35" t="s">
        <v>115</v>
      </c>
    </row>
    <row r="36" spans="1:42" x14ac:dyDescent="0.25">
      <c r="A36" s="11" t="s">
        <v>99</v>
      </c>
      <c r="B36" s="20" t="s">
        <v>81</v>
      </c>
      <c r="C36" s="20" t="s">
        <v>82</v>
      </c>
      <c r="D36" s="11"/>
      <c r="E36" s="11"/>
      <c r="F36" s="36">
        <f>'Feb 2026'!AI36</f>
        <v>150</v>
      </c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35">
        <f t="shared" si="0"/>
        <v>150</v>
      </c>
      <c r="AP36" t="s">
        <v>115</v>
      </c>
    </row>
    <row r="37" spans="1:42" x14ac:dyDescent="0.25">
      <c r="A37" s="11" t="s">
        <v>100</v>
      </c>
      <c r="B37" s="20" t="s">
        <v>83</v>
      </c>
      <c r="C37" s="20" t="s">
        <v>84</v>
      </c>
      <c r="D37" s="11"/>
      <c r="E37" s="11"/>
      <c r="F37" s="36">
        <f>'Feb 2026'!AI37</f>
        <v>150</v>
      </c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35">
        <f t="shared" si="0"/>
        <v>150</v>
      </c>
      <c r="AP37" t="s">
        <v>115</v>
      </c>
    </row>
    <row r="38" spans="1:42" x14ac:dyDescent="0.25">
      <c r="A38" s="11" t="s">
        <v>99</v>
      </c>
      <c r="B38" s="20" t="s">
        <v>85</v>
      </c>
      <c r="C38" s="20" t="s">
        <v>86</v>
      </c>
      <c r="D38" s="11"/>
      <c r="E38" s="11"/>
      <c r="F38" s="36">
        <f>'Feb 2026'!AI38</f>
        <v>57</v>
      </c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35">
        <f t="shared" si="0"/>
        <v>57</v>
      </c>
      <c r="AP38" t="s">
        <v>115</v>
      </c>
    </row>
    <row r="39" spans="1:42" x14ac:dyDescent="0.25">
      <c r="A39" s="11" t="s">
        <v>100</v>
      </c>
      <c r="B39" s="20" t="s">
        <v>87</v>
      </c>
      <c r="C39" s="20" t="s">
        <v>88</v>
      </c>
      <c r="D39" s="11"/>
      <c r="E39" s="11"/>
      <c r="F39" s="36">
        <f>'Feb 2026'!AI39</f>
        <v>0</v>
      </c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>
        <v>-2</v>
      </c>
      <c r="AE39" s="25"/>
      <c r="AF39" s="25"/>
      <c r="AG39" s="25"/>
      <c r="AH39" s="25"/>
      <c r="AI39" s="25"/>
      <c r="AJ39" s="25"/>
      <c r="AK39" s="25"/>
      <c r="AL39" s="35">
        <f t="shared" si="0"/>
        <v>-2</v>
      </c>
      <c r="AP39" t="s">
        <v>115</v>
      </c>
    </row>
    <row r="40" spans="1:42" x14ac:dyDescent="0.25">
      <c r="A40" s="11" t="s">
        <v>101</v>
      </c>
      <c r="B40" s="20" t="s">
        <v>89</v>
      </c>
      <c r="C40" s="20" t="s">
        <v>90</v>
      </c>
      <c r="D40" s="11"/>
      <c r="E40" s="11"/>
      <c r="F40" s="36">
        <f>'Feb 2026'!AI40</f>
        <v>5</v>
      </c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35">
        <f t="shared" si="0"/>
        <v>5</v>
      </c>
      <c r="AP40" t="s">
        <v>115</v>
      </c>
    </row>
    <row r="41" spans="1:42" x14ac:dyDescent="0.25">
      <c r="A41" s="11" t="s">
        <v>102</v>
      </c>
      <c r="B41" s="20" t="s">
        <v>91</v>
      </c>
      <c r="C41" s="20" t="s">
        <v>92</v>
      </c>
      <c r="D41" s="11"/>
      <c r="E41" s="11"/>
      <c r="F41" s="36">
        <f>'Feb 2026'!AI41</f>
        <v>70</v>
      </c>
      <c r="G41" s="25"/>
      <c r="H41" s="25"/>
      <c r="I41" s="25"/>
      <c r="J41" s="25">
        <v>-8</v>
      </c>
      <c r="K41" s="25"/>
      <c r="L41" s="25"/>
      <c r="M41" s="25"/>
      <c r="N41" s="25"/>
      <c r="O41" s="25"/>
      <c r="P41" s="25"/>
      <c r="Q41" s="25">
        <f>-1+-3</f>
        <v>-4</v>
      </c>
      <c r="R41" s="25">
        <v>-5</v>
      </c>
      <c r="S41" s="25"/>
      <c r="T41" s="25"/>
      <c r="U41" s="32"/>
      <c r="V41" s="25"/>
      <c r="W41" s="25">
        <v>-3</v>
      </c>
      <c r="X41" s="25"/>
      <c r="Y41" s="25"/>
      <c r="Z41" s="32"/>
      <c r="AA41" s="25">
        <v>-1</v>
      </c>
      <c r="AB41" s="25"/>
      <c r="AC41" s="25"/>
      <c r="AD41" s="25"/>
      <c r="AE41" s="25"/>
      <c r="AF41" s="25">
        <v>-1</v>
      </c>
      <c r="AG41" s="25"/>
      <c r="AH41" s="25"/>
      <c r="AI41" s="25"/>
      <c r="AJ41" s="25"/>
      <c r="AK41" s="25"/>
      <c r="AL41" s="35">
        <f t="shared" si="0"/>
        <v>48</v>
      </c>
      <c r="AM41">
        <v>10</v>
      </c>
      <c r="AN41">
        <v>15</v>
      </c>
      <c r="AO41">
        <v>25</v>
      </c>
    </row>
    <row r="42" spans="1:42" x14ac:dyDescent="0.25">
      <c r="A42" s="11" t="s">
        <v>101</v>
      </c>
      <c r="B42" s="20" t="s">
        <v>93</v>
      </c>
      <c r="C42" s="20" t="s">
        <v>94</v>
      </c>
      <c r="D42" s="11"/>
      <c r="E42" s="11"/>
      <c r="F42" s="36">
        <f>'Feb 2026'!AI42</f>
        <v>56</v>
      </c>
      <c r="G42" s="25"/>
      <c r="H42" s="25"/>
      <c r="I42" s="25">
        <v>-2</v>
      </c>
      <c r="J42" s="25">
        <v>-8</v>
      </c>
      <c r="K42" s="25"/>
      <c r="L42" s="25">
        <v>-1</v>
      </c>
      <c r="M42" s="25">
        <v>-3</v>
      </c>
      <c r="N42" s="25"/>
      <c r="O42" s="25"/>
      <c r="P42" s="25"/>
      <c r="Q42" s="25">
        <f>-1+-3</f>
        <v>-4</v>
      </c>
      <c r="R42" s="25"/>
      <c r="S42" s="25"/>
      <c r="T42" s="25"/>
      <c r="U42" s="32"/>
      <c r="V42" s="25"/>
      <c r="W42" s="25">
        <v>-3</v>
      </c>
      <c r="X42" s="25"/>
      <c r="Y42" s="25"/>
      <c r="Z42" s="25"/>
      <c r="AA42" s="25">
        <v>-1</v>
      </c>
      <c r="AB42" s="25"/>
      <c r="AC42" s="25"/>
      <c r="AD42" s="25"/>
      <c r="AE42" s="25"/>
      <c r="AF42" s="25">
        <v>-1</v>
      </c>
      <c r="AG42" s="25"/>
      <c r="AH42" s="25"/>
      <c r="AI42" s="25"/>
      <c r="AJ42" s="25"/>
      <c r="AK42" s="25"/>
      <c r="AL42" s="35">
        <f t="shared" si="0"/>
        <v>33</v>
      </c>
      <c r="AM42">
        <v>10</v>
      </c>
      <c r="AN42">
        <v>15</v>
      </c>
      <c r="AO42">
        <v>25</v>
      </c>
    </row>
    <row r="43" spans="1:42" x14ac:dyDescent="0.25">
      <c r="A43" s="20" t="s">
        <v>101</v>
      </c>
      <c r="B43" s="20" t="s">
        <v>95</v>
      </c>
      <c r="C43" s="20" t="s">
        <v>96</v>
      </c>
      <c r="D43" s="11"/>
      <c r="E43" s="11"/>
      <c r="F43" s="36">
        <f>'Feb 2026'!AI43</f>
        <v>0</v>
      </c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35">
        <f t="shared" si="0"/>
        <v>0</v>
      </c>
      <c r="AP43" t="s">
        <v>115</v>
      </c>
    </row>
    <row r="44" spans="1:42" x14ac:dyDescent="0.25">
      <c r="A44" s="31" t="s">
        <v>107</v>
      </c>
      <c r="B44" s="20" t="s">
        <v>103</v>
      </c>
      <c r="C44" s="20" t="s">
        <v>104</v>
      </c>
      <c r="D44" s="11"/>
      <c r="E44" s="11"/>
      <c r="F44" s="36">
        <f>'Feb 2026'!AI44</f>
        <v>0</v>
      </c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32">
        <v>100</v>
      </c>
      <c r="V44" s="25">
        <f>-8+-43+-8+-41</f>
        <v>-100</v>
      </c>
      <c r="W44" s="25"/>
      <c r="X44" s="32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35">
        <f t="shared" si="0"/>
        <v>0</v>
      </c>
      <c r="AM44">
        <v>200</v>
      </c>
      <c r="AN44">
        <v>250</v>
      </c>
      <c r="AO44">
        <v>500</v>
      </c>
    </row>
    <row r="45" spans="1:42" x14ac:dyDescent="0.25">
      <c r="A45" s="31" t="s">
        <v>107</v>
      </c>
      <c r="B45" s="20" t="s">
        <v>105</v>
      </c>
      <c r="C45" s="20" t="s">
        <v>106</v>
      </c>
      <c r="D45" s="11"/>
      <c r="E45" s="11"/>
      <c r="F45" s="36">
        <f>'Feb 2026'!AI45</f>
        <v>71</v>
      </c>
      <c r="G45" s="25"/>
      <c r="H45" s="25"/>
      <c r="I45" s="25"/>
      <c r="J45" s="25"/>
      <c r="K45" s="25"/>
      <c r="L45" s="25"/>
      <c r="M45" s="25">
        <f>-29+-21</f>
        <v>-50</v>
      </c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>
        <v>-14</v>
      </c>
      <c r="AH45" s="25"/>
      <c r="AI45" s="25"/>
      <c r="AJ45" s="25">
        <v>-2</v>
      </c>
      <c r="AK45" s="25"/>
      <c r="AL45" s="35">
        <f t="shared" si="0"/>
        <v>5</v>
      </c>
      <c r="AM45">
        <v>200</v>
      </c>
      <c r="AN45">
        <v>250</v>
      </c>
      <c r="AO45">
        <v>500</v>
      </c>
    </row>
    <row r="46" spans="1:42" x14ac:dyDescent="0.25">
      <c r="A46" s="31" t="s">
        <v>100</v>
      </c>
      <c r="B46" s="20"/>
      <c r="C46" s="20" t="s">
        <v>108</v>
      </c>
      <c r="D46" s="11"/>
      <c r="E46" s="11"/>
      <c r="F46" s="36">
        <f>'Feb 2026'!AI46</f>
        <v>95</v>
      </c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35">
        <f t="shared" si="0"/>
        <v>95</v>
      </c>
      <c r="AP46" t="s">
        <v>115</v>
      </c>
    </row>
    <row r="47" spans="1:42" x14ac:dyDescent="0.25">
      <c r="A47" s="20" t="s">
        <v>101</v>
      </c>
      <c r="B47" s="20" t="s">
        <v>109</v>
      </c>
      <c r="C47" s="20" t="s">
        <v>110</v>
      </c>
      <c r="D47" s="11"/>
      <c r="E47" s="11"/>
      <c r="F47" s="36">
        <f>'Feb 2026'!AI47</f>
        <v>27</v>
      </c>
      <c r="G47" s="25"/>
      <c r="H47" s="25"/>
      <c r="I47" s="25"/>
      <c r="J47" s="25">
        <v>-8</v>
      </c>
      <c r="K47" s="25"/>
      <c r="L47" s="25"/>
      <c r="M47" s="25"/>
      <c r="N47" s="25"/>
      <c r="O47" s="25"/>
      <c r="P47" s="25"/>
      <c r="Q47" s="25"/>
      <c r="R47" s="32">
        <v>17</v>
      </c>
      <c r="S47" s="25"/>
      <c r="T47" s="25"/>
      <c r="U47" s="25"/>
      <c r="V47" s="25"/>
      <c r="W47" s="25">
        <v>-3</v>
      </c>
      <c r="X47" s="25"/>
      <c r="Y47" s="25"/>
      <c r="Z47" s="32"/>
      <c r="AA47" s="25">
        <v>-1</v>
      </c>
      <c r="AB47" s="25"/>
      <c r="AC47" s="25"/>
      <c r="AD47" s="25"/>
      <c r="AE47" s="25"/>
      <c r="AF47" s="25">
        <v>-1</v>
      </c>
      <c r="AG47" s="25"/>
      <c r="AH47" s="25"/>
      <c r="AI47" s="25"/>
      <c r="AJ47" s="25"/>
      <c r="AK47" s="32"/>
      <c r="AL47" s="35">
        <f t="shared" si="0"/>
        <v>31</v>
      </c>
      <c r="AM47">
        <v>10</v>
      </c>
      <c r="AN47">
        <v>15</v>
      </c>
      <c r="AO47">
        <v>25</v>
      </c>
    </row>
    <row r="48" spans="1:42" x14ac:dyDescent="0.25">
      <c r="A48" s="11"/>
      <c r="B48" s="20"/>
      <c r="C48" s="20" t="s">
        <v>111</v>
      </c>
      <c r="D48" s="11"/>
      <c r="E48" s="11"/>
      <c r="F48" s="36">
        <f>'Feb 2026'!AI48</f>
        <v>2</v>
      </c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32">
        <f>22+29</f>
        <v>51</v>
      </c>
      <c r="AD48" s="25">
        <v>-20</v>
      </c>
      <c r="AE48" s="25"/>
      <c r="AF48" s="25"/>
      <c r="AG48" s="25"/>
      <c r="AH48" s="25"/>
      <c r="AI48" s="25"/>
      <c r="AJ48" s="25"/>
      <c r="AK48" s="25"/>
      <c r="AL48" s="35">
        <f t="shared" si="0"/>
        <v>33</v>
      </c>
    </row>
    <row r="49" spans="1:42" x14ac:dyDescent="0.25">
      <c r="A49" s="11"/>
      <c r="B49" s="20"/>
      <c r="C49" s="20" t="s">
        <v>113</v>
      </c>
      <c r="D49" s="11"/>
      <c r="E49" s="11"/>
      <c r="F49" s="36">
        <f>'Feb 2026'!AI49</f>
        <v>28</v>
      </c>
      <c r="G49" s="25"/>
      <c r="H49" s="25">
        <v>-1</v>
      </c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>
        <v>-1</v>
      </c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35">
        <f t="shared" si="0"/>
        <v>26</v>
      </c>
    </row>
    <row r="50" spans="1:42" x14ac:dyDescent="0.25">
      <c r="A50" s="11"/>
      <c r="B50" s="20"/>
      <c r="C50" s="20"/>
      <c r="D50" s="11"/>
      <c r="E50" s="11"/>
      <c r="F50" s="11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35"/>
    </row>
    <row r="51" spans="1:42" x14ac:dyDescent="0.25">
      <c r="A51" s="11"/>
      <c r="B51" s="20"/>
      <c r="C51" s="20"/>
      <c r="D51" s="11"/>
      <c r="E51" s="11"/>
      <c r="F51" s="11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6"/>
    </row>
    <row r="52" spans="1:42" x14ac:dyDescent="0.25">
      <c r="A52" s="11"/>
      <c r="B52" s="20"/>
      <c r="C52" s="20"/>
      <c r="D52" s="11"/>
      <c r="E52" s="11"/>
      <c r="F52" s="11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6"/>
    </row>
    <row r="53" spans="1:42" x14ac:dyDescent="0.25">
      <c r="A53" s="11"/>
      <c r="B53" s="20"/>
      <c r="C53" s="20"/>
      <c r="D53" s="11"/>
      <c r="E53" s="11"/>
      <c r="F53" s="11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6"/>
    </row>
    <row r="54" spans="1:42" ht="15.75" thickBot="1" x14ac:dyDescent="0.3">
      <c r="A54" s="1"/>
      <c r="B54" s="2"/>
      <c r="C54" s="2"/>
      <c r="D54" s="29"/>
      <c r="E54" s="30"/>
      <c r="F54" s="30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1"/>
      <c r="AM54" s="1"/>
      <c r="AN54" s="1"/>
      <c r="AO54" s="1"/>
      <c r="AP54" s="1"/>
    </row>
    <row r="55" spans="1:42" ht="32.25" thickBot="1" x14ac:dyDescent="0.3">
      <c r="A55" s="1"/>
      <c r="B55" s="6" t="s">
        <v>21</v>
      </c>
      <c r="C55" s="18"/>
      <c r="D55" s="19"/>
      <c r="E55" s="9" t="s">
        <v>22</v>
      </c>
      <c r="F55" s="22" t="s">
        <v>23</v>
      </c>
      <c r="G55" s="27" t="s">
        <v>24</v>
      </c>
      <c r="H55" s="28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spans="1:42" ht="16.5" thickBot="1" x14ac:dyDescent="0.3">
      <c r="A56" s="1"/>
      <c r="B56" s="7" t="s">
        <v>25</v>
      </c>
      <c r="C56" s="19"/>
      <c r="D56" s="19"/>
      <c r="E56" s="8"/>
      <c r="F56" s="21"/>
      <c r="G56" s="40"/>
      <c r="H56" s="4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 spans="1:42" ht="32.25" thickBot="1" x14ac:dyDescent="0.3">
      <c r="A57" s="1"/>
      <c r="B57" s="7" t="s">
        <v>26</v>
      </c>
      <c r="C57" s="19"/>
      <c r="D57" s="19"/>
      <c r="E57" s="9"/>
      <c r="F57" s="22"/>
      <c r="G57" s="42"/>
      <c r="H57" s="43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spans="1:42" ht="16.5" thickBot="1" x14ac:dyDescent="0.3">
      <c r="A58" s="1"/>
      <c r="B58" s="7" t="s">
        <v>27</v>
      </c>
      <c r="C58" s="19"/>
      <c r="D58" s="19"/>
      <c r="E58" s="10"/>
      <c r="F58" s="23"/>
      <c r="G58" s="44"/>
      <c r="H58" s="45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 spans="1:42" ht="15.75" x14ac:dyDescent="0.25">
      <c r="A59" s="1"/>
      <c r="B59" s="46" t="s">
        <v>28</v>
      </c>
      <c r="C59" s="16"/>
      <c r="D59" s="16"/>
      <c r="E59" s="49"/>
      <c r="F59" s="52"/>
      <c r="G59" s="55"/>
      <c r="H59" s="56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1:42" ht="15.75" x14ac:dyDescent="0.25">
      <c r="A60" s="1"/>
      <c r="B60" s="47"/>
      <c r="C60" s="17"/>
      <c r="D60" s="17"/>
      <c r="E60" s="50"/>
      <c r="F60" s="53"/>
      <c r="G60" s="55"/>
      <c r="H60" s="56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spans="1:42" ht="16.5" thickBot="1" x14ac:dyDescent="0.3">
      <c r="A61" s="1"/>
      <c r="B61" s="48"/>
      <c r="C61" s="7"/>
      <c r="D61" s="7"/>
      <c r="E61" s="51"/>
      <c r="F61" s="54"/>
      <c r="G61" s="57"/>
      <c r="H61" s="58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1:42" x14ac:dyDescent="0.25">
      <c r="A62" s="1"/>
      <c r="B62" s="2"/>
      <c r="C62" s="2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:42" x14ac:dyDescent="0.25">
      <c r="A63" s="1"/>
      <c r="B63" s="2"/>
      <c r="C63" s="2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</sheetData>
  <mergeCells count="24">
    <mergeCell ref="E1:Q1"/>
    <mergeCell ref="E2:Q2"/>
    <mergeCell ref="E3:Q3"/>
    <mergeCell ref="E4:Q4"/>
    <mergeCell ref="E5:G5"/>
    <mergeCell ref="H5:J5"/>
    <mergeCell ref="K5:L5"/>
    <mergeCell ref="N5:O5"/>
    <mergeCell ref="P5:Q5"/>
    <mergeCell ref="E6:G6"/>
    <mergeCell ref="H6:J6"/>
    <mergeCell ref="K6:L6"/>
    <mergeCell ref="M6:Q6"/>
    <mergeCell ref="E7:G7"/>
    <mergeCell ref="H7:J7"/>
    <mergeCell ref="K7:L7"/>
    <mergeCell ref="M7:Q7"/>
    <mergeCell ref="G56:H56"/>
    <mergeCell ref="G57:H57"/>
    <mergeCell ref="G58:H58"/>
    <mergeCell ref="B59:B61"/>
    <mergeCell ref="E59:E61"/>
    <mergeCell ref="F59:F61"/>
    <mergeCell ref="G59:H61"/>
  </mergeCells>
  <conditionalFormatting sqref="AL11:AL53">
    <cfRule type="cellIs" dxfId="5" priority="1" operator="greaterThan">
      <formula>#REF!</formula>
    </cfRule>
    <cfRule type="cellIs" dxfId="4" priority="2" operator="between">
      <formula>11</formula>
      <formula>50</formula>
    </cfRule>
    <cfRule type="cellIs" dxfId="3" priority="3" operator="lessThan">
      <formula>#REF!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9BDB2-4099-4352-A761-2A7E5E0621E9}">
  <dimension ref="A1:AO63"/>
  <sheetViews>
    <sheetView tabSelected="1" workbookViewId="0">
      <pane xSplit="5" ySplit="10" topLeftCell="F16" activePane="bottomRight" state="frozen"/>
      <selection pane="topRight" activeCell="F1" sqref="F1"/>
      <selection pane="bottomLeft" activeCell="A11" sqref="A11"/>
      <selection pane="bottomRight" activeCell="P21" sqref="P21"/>
    </sheetView>
  </sheetViews>
  <sheetFormatPr defaultRowHeight="15" x14ac:dyDescent="0.25"/>
  <cols>
    <col min="2" max="2" width="12" bestFit="1" customWidth="1"/>
    <col min="3" max="3" width="47.140625" bestFit="1" customWidth="1"/>
  </cols>
  <sheetData>
    <row r="1" spans="1:41" ht="22.5" x14ac:dyDescent="0.25">
      <c r="E1" s="64" t="s">
        <v>29</v>
      </c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</row>
    <row r="2" spans="1:41" x14ac:dyDescent="0.25">
      <c r="E2" s="65" t="s">
        <v>30</v>
      </c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7"/>
    </row>
    <row r="3" spans="1:41" ht="15.75" x14ac:dyDescent="0.25">
      <c r="E3" s="68" t="s">
        <v>0</v>
      </c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</row>
    <row r="4" spans="1:41" x14ac:dyDescent="0.25">
      <c r="E4" s="69" t="s">
        <v>1</v>
      </c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</row>
    <row r="5" spans="1:41" ht="15.75" x14ac:dyDescent="0.25">
      <c r="E5" s="59" t="s">
        <v>2</v>
      </c>
      <c r="F5" s="59"/>
      <c r="G5" s="59"/>
      <c r="H5" s="70" t="s">
        <v>3</v>
      </c>
      <c r="I5" s="71"/>
      <c r="J5" s="72"/>
      <c r="K5" s="61" t="s">
        <v>4</v>
      </c>
      <c r="L5" s="61"/>
      <c r="M5" s="11">
        <v>0</v>
      </c>
      <c r="N5" s="73" t="s">
        <v>5</v>
      </c>
      <c r="O5" s="73"/>
      <c r="P5" s="74"/>
      <c r="Q5" s="75"/>
    </row>
    <row r="6" spans="1:41" ht="15.75" x14ac:dyDescent="0.25">
      <c r="E6" s="59" t="s">
        <v>6</v>
      </c>
      <c r="F6" s="59"/>
      <c r="G6" s="59"/>
      <c r="H6" s="60" t="s">
        <v>7</v>
      </c>
      <c r="I6" s="60"/>
      <c r="J6" s="60"/>
      <c r="K6" s="61" t="s">
        <v>8</v>
      </c>
      <c r="L6" s="61"/>
      <c r="M6" s="62" t="s">
        <v>9</v>
      </c>
      <c r="N6" s="62"/>
      <c r="O6" s="62"/>
      <c r="P6" s="62"/>
      <c r="Q6" s="62"/>
    </row>
    <row r="7" spans="1:41" ht="15.75" x14ac:dyDescent="0.25">
      <c r="E7" s="61" t="s">
        <v>10</v>
      </c>
      <c r="F7" s="61"/>
      <c r="G7" s="61"/>
      <c r="H7" s="63"/>
      <c r="I7" s="63"/>
      <c r="J7" s="63"/>
      <c r="K7" s="61" t="s">
        <v>11</v>
      </c>
      <c r="L7" s="61"/>
      <c r="M7" s="62"/>
      <c r="N7" s="62"/>
      <c r="O7" s="62"/>
      <c r="P7" s="62"/>
      <c r="Q7" s="62"/>
    </row>
    <row r="9" spans="1:41" x14ac:dyDescent="0.25">
      <c r="A9" t="s">
        <v>12</v>
      </c>
    </row>
    <row r="10" spans="1:41" ht="26.25" x14ac:dyDescent="0.25">
      <c r="A10" s="24" t="s">
        <v>13</v>
      </c>
      <c r="B10" s="4" t="s">
        <v>14</v>
      </c>
      <c r="C10" s="4" t="s">
        <v>15</v>
      </c>
      <c r="D10" s="4" t="s">
        <v>16</v>
      </c>
      <c r="E10" s="5" t="s">
        <v>17</v>
      </c>
      <c r="F10" s="12" t="s">
        <v>112</v>
      </c>
      <c r="G10" s="33">
        <v>46113</v>
      </c>
      <c r="H10" s="33">
        <v>46114</v>
      </c>
      <c r="I10" s="33">
        <v>46115</v>
      </c>
      <c r="J10" s="33">
        <v>46116</v>
      </c>
      <c r="K10" s="33">
        <v>46117</v>
      </c>
      <c r="L10" s="33">
        <v>46118</v>
      </c>
      <c r="M10" s="33">
        <v>46119</v>
      </c>
      <c r="N10" s="33">
        <v>46120</v>
      </c>
      <c r="O10" s="33">
        <v>46121</v>
      </c>
      <c r="P10" s="33">
        <v>46122</v>
      </c>
      <c r="Q10" s="33">
        <v>46123</v>
      </c>
      <c r="R10" s="33">
        <v>46124</v>
      </c>
      <c r="S10" s="33">
        <v>46125</v>
      </c>
      <c r="T10" s="33">
        <v>46126</v>
      </c>
      <c r="U10" s="33">
        <v>46127</v>
      </c>
      <c r="V10" s="33">
        <v>46128</v>
      </c>
      <c r="W10" s="33">
        <v>46129</v>
      </c>
      <c r="X10" s="33">
        <v>46130</v>
      </c>
      <c r="Y10" s="33">
        <v>46131</v>
      </c>
      <c r="Z10" s="33">
        <v>46132</v>
      </c>
      <c r="AA10" s="33">
        <v>46133</v>
      </c>
      <c r="AB10" s="33">
        <v>46134</v>
      </c>
      <c r="AC10" s="33">
        <v>46135</v>
      </c>
      <c r="AD10" s="33">
        <v>46136</v>
      </c>
      <c r="AE10" s="33">
        <v>46137</v>
      </c>
      <c r="AF10" s="33">
        <v>46138</v>
      </c>
      <c r="AG10" s="33">
        <v>46139</v>
      </c>
      <c r="AH10" s="33">
        <v>46140</v>
      </c>
      <c r="AI10" s="33">
        <v>46141</v>
      </c>
      <c r="AJ10" s="33">
        <v>46142</v>
      </c>
      <c r="AK10" s="12" t="s">
        <v>114</v>
      </c>
      <c r="AL10" s="3" t="s">
        <v>18</v>
      </c>
      <c r="AM10" s="3" t="s">
        <v>19</v>
      </c>
      <c r="AN10" s="3" t="s">
        <v>20</v>
      </c>
      <c r="AO10" s="14"/>
    </row>
    <row r="11" spans="1:41" x14ac:dyDescent="0.25">
      <c r="A11" s="11" t="s">
        <v>97</v>
      </c>
      <c r="B11" s="20" t="s">
        <v>31</v>
      </c>
      <c r="C11" s="20" t="s">
        <v>32</v>
      </c>
      <c r="D11" s="11"/>
      <c r="E11" s="11"/>
      <c r="F11" s="36">
        <f>'March 2026'!AL11</f>
        <v>975</v>
      </c>
      <c r="G11" s="25"/>
      <c r="H11" s="25"/>
      <c r="I11" s="25"/>
      <c r="J11" s="25"/>
      <c r="K11" s="25"/>
      <c r="L11" s="25"/>
      <c r="M11" s="25"/>
      <c r="N11" s="25">
        <v>-320</v>
      </c>
      <c r="O11" s="25"/>
      <c r="P11" s="25"/>
      <c r="Q11" s="25"/>
      <c r="R11" s="25"/>
      <c r="S11" s="25"/>
      <c r="T11" s="25"/>
      <c r="U11" s="25">
        <v>-240</v>
      </c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35">
        <f t="shared" ref="AK11:AK49" si="0">F11+SUM(G11:AJ11)</f>
        <v>415</v>
      </c>
      <c r="AL11">
        <v>200</v>
      </c>
      <c r="AM11">
        <v>250</v>
      </c>
      <c r="AN11">
        <v>1000</v>
      </c>
    </row>
    <row r="12" spans="1:41" x14ac:dyDescent="0.25">
      <c r="A12" s="11" t="s">
        <v>98</v>
      </c>
      <c r="B12" s="20" t="s">
        <v>33</v>
      </c>
      <c r="C12" s="20" t="s">
        <v>34</v>
      </c>
      <c r="D12" s="11"/>
      <c r="E12" s="11"/>
      <c r="F12" s="36">
        <f>'March 2026'!AL12</f>
        <v>573</v>
      </c>
      <c r="G12" s="25"/>
      <c r="H12" s="25"/>
      <c r="I12" s="25"/>
      <c r="J12" s="25"/>
      <c r="K12" s="25"/>
      <c r="L12" s="25">
        <v>-9</v>
      </c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35">
        <f t="shared" si="0"/>
        <v>564</v>
      </c>
      <c r="AL12">
        <v>50</v>
      </c>
      <c r="AM12">
        <v>100</v>
      </c>
      <c r="AN12">
        <v>150</v>
      </c>
    </row>
    <row r="13" spans="1:41" x14ac:dyDescent="0.25">
      <c r="A13" s="11" t="s">
        <v>98</v>
      </c>
      <c r="B13" s="20" t="s">
        <v>35</v>
      </c>
      <c r="C13" s="20" t="s">
        <v>36</v>
      </c>
      <c r="D13" s="11"/>
      <c r="E13" s="11"/>
      <c r="F13" s="36">
        <f>'March 2026'!AL13</f>
        <v>269</v>
      </c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I13" s="25"/>
      <c r="AJ13" s="25"/>
      <c r="AK13" s="35">
        <f t="shared" si="0"/>
        <v>269</v>
      </c>
      <c r="AL13">
        <v>50</v>
      </c>
      <c r="AM13">
        <v>100</v>
      </c>
      <c r="AN13">
        <v>150</v>
      </c>
    </row>
    <row r="14" spans="1:41" x14ac:dyDescent="0.25">
      <c r="A14" s="11" t="s">
        <v>97</v>
      </c>
      <c r="B14" s="20" t="s">
        <v>37</v>
      </c>
      <c r="C14" s="20" t="s">
        <v>38</v>
      </c>
      <c r="D14" s="11"/>
      <c r="E14" s="11"/>
      <c r="F14" s="36">
        <f>'March 2026'!AL14</f>
        <v>836</v>
      </c>
      <c r="G14" s="25"/>
      <c r="H14" s="25"/>
      <c r="I14" s="25">
        <v>-100</v>
      </c>
      <c r="J14" s="25"/>
      <c r="K14" s="25"/>
      <c r="L14" s="25"/>
      <c r="M14" s="25"/>
      <c r="N14" s="25">
        <v>-320</v>
      </c>
      <c r="O14" s="25"/>
      <c r="P14" s="25"/>
      <c r="Q14" s="25"/>
      <c r="R14" s="25"/>
      <c r="S14" s="25"/>
      <c r="T14" s="25"/>
      <c r="U14" s="25">
        <f>-61+-240</f>
        <v>-301</v>
      </c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35">
        <f t="shared" si="0"/>
        <v>115</v>
      </c>
      <c r="AL14">
        <v>200</v>
      </c>
      <c r="AM14">
        <v>250</v>
      </c>
      <c r="AN14">
        <v>1000</v>
      </c>
    </row>
    <row r="15" spans="1:41" x14ac:dyDescent="0.25">
      <c r="A15" s="11" t="s">
        <v>98</v>
      </c>
      <c r="B15" s="20" t="s">
        <v>39</v>
      </c>
      <c r="C15" s="20" t="s">
        <v>40</v>
      </c>
      <c r="D15" s="11"/>
      <c r="E15" s="11"/>
      <c r="F15" s="36">
        <f>'March 2026'!AL15</f>
        <v>560</v>
      </c>
      <c r="G15" s="25"/>
      <c r="H15" s="25"/>
      <c r="I15" s="25">
        <v>-25</v>
      </c>
      <c r="J15" s="25"/>
      <c r="K15" s="25"/>
      <c r="L15" s="25">
        <v>-9</v>
      </c>
      <c r="M15" s="25">
        <f>-2+-2</f>
        <v>-4</v>
      </c>
      <c r="N15" s="25">
        <v>-40</v>
      </c>
      <c r="O15" s="25"/>
      <c r="P15" s="25"/>
      <c r="Q15" s="25"/>
      <c r="R15" s="25"/>
      <c r="S15" s="25">
        <v>-12</v>
      </c>
      <c r="T15" s="25"/>
      <c r="U15" s="25">
        <f>-30+-30</f>
        <v>-60</v>
      </c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35">
        <f t="shared" si="0"/>
        <v>410</v>
      </c>
      <c r="AL15">
        <v>200</v>
      </c>
      <c r="AM15">
        <v>250</v>
      </c>
      <c r="AN15">
        <v>1000</v>
      </c>
    </row>
    <row r="16" spans="1:41" x14ac:dyDescent="0.25">
      <c r="A16" s="11" t="s">
        <v>97</v>
      </c>
      <c r="B16" s="20" t="s">
        <v>41</v>
      </c>
      <c r="C16" s="20" t="s">
        <v>42</v>
      </c>
      <c r="D16" s="11"/>
      <c r="E16" s="11"/>
      <c r="F16" s="36">
        <f>'March 2026'!AL16</f>
        <v>1252</v>
      </c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35">
        <f t="shared" si="0"/>
        <v>1252</v>
      </c>
      <c r="AL16">
        <v>100</v>
      </c>
      <c r="AM16">
        <v>150</v>
      </c>
      <c r="AN16">
        <v>500</v>
      </c>
    </row>
    <row r="17" spans="1:41" x14ac:dyDescent="0.25">
      <c r="A17" s="11" t="s">
        <v>97</v>
      </c>
      <c r="B17" s="20" t="s">
        <v>43</v>
      </c>
      <c r="C17" s="20" t="s">
        <v>44</v>
      </c>
      <c r="D17" s="11"/>
      <c r="E17" s="11"/>
      <c r="F17" s="36">
        <f>'March 2026'!AL17</f>
        <v>35</v>
      </c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35">
        <f t="shared" si="0"/>
        <v>35</v>
      </c>
      <c r="AL17">
        <v>200</v>
      </c>
      <c r="AM17">
        <v>250</v>
      </c>
      <c r="AN17">
        <v>1000</v>
      </c>
    </row>
    <row r="18" spans="1:41" x14ac:dyDescent="0.25">
      <c r="A18" s="11" t="s">
        <v>97</v>
      </c>
      <c r="B18" s="20" t="s">
        <v>45</v>
      </c>
      <c r="C18" s="20" t="s">
        <v>46</v>
      </c>
      <c r="D18" s="11"/>
      <c r="E18" s="11"/>
      <c r="F18" s="36">
        <f>'March 2026'!AL18</f>
        <v>2139</v>
      </c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35">
        <f t="shared" si="0"/>
        <v>2139</v>
      </c>
      <c r="AO18" t="s">
        <v>115</v>
      </c>
    </row>
    <row r="19" spans="1:41" x14ac:dyDescent="0.25">
      <c r="A19" s="11" t="s">
        <v>99</v>
      </c>
      <c r="B19" s="20" t="s">
        <v>47</v>
      </c>
      <c r="C19" s="20" t="s">
        <v>48</v>
      </c>
      <c r="D19" s="11"/>
      <c r="E19" s="11"/>
      <c r="F19" s="36">
        <f>'March 2026'!AL19</f>
        <v>258</v>
      </c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35">
        <f t="shared" si="0"/>
        <v>258</v>
      </c>
      <c r="AO19" t="s">
        <v>115</v>
      </c>
    </row>
    <row r="20" spans="1:41" x14ac:dyDescent="0.25">
      <c r="A20" s="11" t="s">
        <v>99</v>
      </c>
      <c r="B20" s="20" t="s">
        <v>49</v>
      </c>
      <c r="C20" s="20" t="s">
        <v>50</v>
      </c>
      <c r="D20" s="11"/>
      <c r="E20" s="11"/>
      <c r="F20" s="36">
        <f>'March 2026'!AL20</f>
        <v>1153</v>
      </c>
      <c r="G20" s="25"/>
      <c r="H20" s="25"/>
      <c r="I20" s="25">
        <v>-25</v>
      </c>
      <c r="J20" s="25"/>
      <c r="K20" s="25"/>
      <c r="L20" s="25">
        <v>-18</v>
      </c>
      <c r="M20" s="25"/>
      <c r="N20" s="25"/>
      <c r="O20" s="25"/>
      <c r="P20" s="25"/>
      <c r="Q20" s="25"/>
      <c r="R20" s="25"/>
      <c r="S20" s="25"/>
      <c r="T20" s="25"/>
      <c r="U20" s="25">
        <v>-30</v>
      </c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35">
        <f t="shared" si="0"/>
        <v>1080</v>
      </c>
      <c r="AL20">
        <v>50</v>
      </c>
      <c r="AM20">
        <v>75</v>
      </c>
      <c r="AN20">
        <v>200</v>
      </c>
    </row>
    <row r="21" spans="1:41" x14ac:dyDescent="0.25">
      <c r="A21" s="11" t="s">
        <v>100</v>
      </c>
      <c r="B21" s="20" t="s">
        <v>51</v>
      </c>
      <c r="C21" s="20" t="s">
        <v>52</v>
      </c>
      <c r="D21" s="11"/>
      <c r="E21" s="11"/>
      <c r="F21" s="36">
        <f>'March 2026'!AL21</f>
        <v>94</v>
      </c>
      <c r="G21" s="25"/>
      <c r="H21" s="25"/>
      <c r="I21" s="25"/>
      <c r="J21" s="25"/>
      <c r="K21" s="25"/>
      <c r="L21" s="25"/>
      <c r="M21" s="25"/>
      <c r="N21" s="25"/>
      <c r="O21" s="25"/>
      <c r="P21" s="39">
        <v>325</v>
      </c>
      <c r="Q21" s="25"/>
      <c r="R21" s="39">
        <v>700</v>
      </c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35">
        <f t="shared" si="0"/>
        <v>1119</v>
      </c>
      <c r="AO21" t="s">
        <v>115</v>
      </c>
    </row>
    <row r="22" spans="1:41" x14ac:dyDescent="0.25">
      <c r="A22" s="11" t="s">
        <v>100</v>
      </c>
      <c r="B22" s="20" t="s">
        <v>53</v>
      </c>
      <c r="C22" s="20" t="s">
        <v>54</v>
      </c>
      <c r="D22" s="11"/>
      <c r="E22" s="11"/>
      <c r="F22" s="36">
        <f>'March 2026'!AL22</f>
        <v>54</v>
      </c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35">
        <f t="shared" si="0"/>
        <v>54</v>
      </c>
      <c r="AO22" t="s">
        <v>115</v>
      </c>
    </row>
    <row r="23" spans="1:41" x14ac:dyDescent="0.25">
      <c r="A23" s="11" t="s">
        <v>100</v>
      </c>
      <c r="B23" s="20" t="s">
        <v>55</v>
      </c>
      <c r="C23" s="20" t="s">
        <v>56</v>
      </c>
      <c r="D23" s="11"/>
      <c r="E23" s="11"/>
      <c r="F23" s="36">
        <f>'March 2026'!AL23</f>
        <v>-56</v>
      </c>
      <c r="G23" s="25"/>
      <c r="H23" s="25"/>
      <c r="I23" s="25">
        <v>-25</v>
      </c>
      <c r="J23" s="25"/>
      <c r="K23" s="25"/>
      <c r="L23" s="25">
        <v>-18</v>
      </c>
      <c r="M23" s="32"/>
      <c r="N23" s="25"/>
      <c r="O23" s="25"/>
      <c r="P23" s="25"/>
      <c r="Q23" s="25"/>
      <c r="R23" s="25"/>
      <c r="S23" s="25"/>
      <c r="T23" s="25"/>
      <c r="U23" s="25">
        <v>-30</v>
      </c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35">
        <f t="shared" si="0"/>
        <v>-129</v>
      </c>
      <c r="AL23">
        <v>50</v>
      </c>
      <c r="AM23">
        <v>75</v>
      </c>
      <c r="AN23">
        <v>200</v>
      </c>
    </row>
    <row r="24" spans="1:41" x14ac:dyDescent="0.25">
      <c r="A24" s="11" t="s">
        <v>99</v>
      </c>
      <c r="B24" s="20" t="s">
        <v>57</v>
      </c>
      <c r="C24" s="20" t="s">
        <v>58</v>
      </c>
      <c r="D24" s="11"/>
      <c r="E24" s="11"/>
      <c r="F24" s="36">
        <f>'March 2026'!AL24</f>
        <v>183</v>
      </c>
      <c r="G24" s="25"/>
      <c r="H24" s="25"/>
      <c r="I24" s="25"/>
      <c r="J24" s="25"/>
      <c r="K24" s="25"/>
      <c r="L24" s="25"/>
      <c r="M24" s="25">
        <v>-2</v>
      </c>
      <c r="N24" s="25">
        <v>-158</v>
      </c>
      <c r="O24" s="25"/>
      <c r="P24" s="25"/>
      <c r="Q24" s="25"/>
      <c r="R24" s="32"/>
      <c r="S24" s="25">
        <v>-68</v>
      </c>
      <c r="T24" s="25"/>
      <c r="U24" s="25"/>
      <c r="V24" s="25"/>
      <c r="W24" s="25">
        <v>-88</v>
      </c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35">
        <f t="shared" si="0"/>
        <v>-133</v>
      </c>
      <c r="AL24">
        <v>100</v>
      </c>
      <c r="AM24">
        <v>150</v>
      </c>
      <c r="AN24">
        <v>1000</v>
      </c>
    </row>
    <row r="25" spans="1:41" x14ac:dyDescent="0.25">
      <c r="A25" s="11" t="s">
        <v>99</v>
      </c>
      <c r="B25" s="20" t="s">
        <v>59</v>
      </c>
      <c r="C25" s="20" t="s">
        <v>60</v>
      </c>
      <c r="D25" s="11"/>
      <c r="E25" s="11"/>
      <c r="F25" s="36">
        <f>'March 2026'!AL25</f>
        <v>-10</v>
      </c>
      <c r="G25" s="25"/>
      <c r="H25" s="25"/>
      <c r="I25" s="25"/>
      <c r="J25" s="25"/>
      <c r="K25" s="25"/>
      <c r="L25" s="25">
        <v>-5</v>
      </c>
      <c r="M25" s="25">
        <v>-2</v>
      </c>
      <c r="N25" s="25"/>
      <c r="O25" s="25"/>
      <c r="P25" s="25"/>
      <c r="Q25" s="25"/>
      <c r="R25" s="39">
        <v>100</v>
      </c>
      <c r="S25" s="25">
        <v>-12</v>
      </c>
      <c r="T25" s="25">
        <v>-27</v>
      </c>
      <c r="U25" s="25"/>
      <c r="V25" s="25"/>
      <c r="W25" s="25"/>
      <c r="X25" s="25"/>
      <c r="Y25" s="25"/>
      <c r="Z25" s="32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35">
        <f t="shared" si="0"/>
        <v>44</v>
      </c>
      <c r="AL25">
        <v>50</v>
      </c>
      <c r="AM25">
        <v>75</v>
      </c>
      <c r="AN25">
        <v>100</v>
      </c>
    </row>
    <row r="26" spans="1:41" x14ac:dyDescent="0.25">
      <c r="A26" s="11" t="s">
        <v>100</v>
      </c>
      <c r="B26" s="20" t="s">
        <v>61</v>
      </c>
      <c r="C26" s="20" t="s">
        <v>62</v>
      </c>
      <c r="D26" s="11"/>
      <c r="E26" s="11"/>
      <c r="F26" s="36">
        <f>'March 2026'!AL26</f>
        <v>-212</v>
      </c>
      <c r="G26" s="25">
        <v>-16</v>
      </c>
      <c r="H26" s="25"/>
      <c r="I26" s="25">
        <v>-23</v>
      </c>
      <c r="J26" s="25"/>
      <c r="K26" s="25"/>
      <c r="L26" s="25"/>
      <c r="M26" s="25">
        <v>-2</v>
      </c>
      <c r="N26" s="25">
        <v>-158</v>
      </c>
      <c r="O26" s="25"/>
      <c r="P26" s="25"/>
      <c r="Q26" s="25"/>
      <c r="R26" s="32"/>
      <c r="S26" s="25">
        <v>-186</v>
      </c>
      <c r="T26" s="25"/>
      <c r="U26" s="25"/>
      <c r="V26" s="25"/>
      <c r="W26" s="25">
        <v>-88</v>
      </c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35">
        <f t="shared" si="0"/>
        <v>-685</v>
      </c>
      <c r="AL26">
        <v>100</v>
      </c>
      <c r="AM26">
        <v>150</v>
      </c>
      <c r="AN26">
        <v>1000</v>
      </c>
    </row>
    <row r="27" spans="1:41" x14ac:dyDescent="0.25">
      <c r="A27" s="11" t="s">
        <v>100</v>
      </c>
      <c r="B27" s="20" t="s">
        <v>63</v>
      </c>
      <c r="C27" s="20" t="s">
        <v>64</v>
      </c>
      <c r="D27" s="11"/>
      <c r="E27" s="11"/>
      <c r="F27" s="36">
        <f>'March 2026'!AL27</f>
        <v>203</v>
      </c>
      <c r="G27" s="25">
        <v>-27</v>
      </c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K27" s="35">
        <f t="shared" si="0"/>
        <v>176</v>
      </c>
      <c r="AL27">
        <v>50</v>
      </c>
      <c r="AM27">
        <v>75</v>
      </c>
      <c r="AN27">
        <v>100</v>
      </c>
    </row>
    <row r="28" spans="1:41" x14ac:dyDescent="0.25">
      <c r="A28" s="11" t="s">
        <v>100</v>
      </c>
      <c r="B28" s="20" t="s">
        <v>65</v>
      </c>
      <c r="C28" s="20" t="s">
        <v>66</v>
      </c>
      <c r="D28" s="11"/>
      <c r="E28" s="11"/>
      <c r="F28" s="36">
        <f>'March 2026'!AL28</f>
        <v>86</v>
      </c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35">
        <f t="shared" si="0"/>
        <v>86</v>
      </c>
      <c r="AO28" t="s">
        <v>115</v>
      </c>
    </row>
    <row r="29" spans="1:41" x14ac:dyDescent="0.25">
      <c r="A29" s="11" t="s">
        <v>100</v>
      </c>
      <c r="B29" s="20" t="s">
        <v>67</v>
      </c>
      <c r="C29" s="20" t="s">
        <v>68</v>
      </c>
      <c r="D29" s="11"/>
      <c r="E29" s="11"/>
      <c r="F29" s="36">
        <f>'March 2026'!AL29</f>
        <v>34</v>
      </c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35">
        <f t="shared" si="0"/>
        <v>34</v>
      </c>
      <c r="AO29" t="s">
        <v>115</v>
      </c>
    </row>
    <row r="30" spans="1:41" x14ac:dyDescent="0.25">
      <c r="A30" s="11" t="s">
        <v>99</v>
      </c>
      <c r="B30" s="20" t="s">
        <v>69</v>
      </c>
      <c r="C30" s="20" t="s">
        <v>70</v>
      </c>
      <c r="D30" s="11"/>
      <c r="E30" s="11"/>
      <c r="F30" s="36">
        <f>'March 2026'!AL30</f>
        <v>93</v>
      </c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35">
        <f t="shared" si="0"/>
        <v>93</v>
      </c>
      <c r="AL30">
        <v>100</v>
      </c>
      <c r="AM30">
        <v>150</v>
      </c>
      <c r="AN30">
        <v>500</v>
      </c>
    </row>
    <row r="31" spans="1:41" x14ac:dyDescent="0.25">
      <c r="A31" s="11" t="s">
        <v>99</v>
      </c>
      <c r="B31" s="20" t="s">
        <v>71</v>
      </c>
      <c r="C31" s="20" t="s">
        <v>72</v>
      </c>
      <c r="D31" s="11"/>
      <c r="E31" s="11"/>
      <c r="F31" s="36">
        <f>'March 2026'!AL31</f>
        <v>246</v>
      </c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35">
        <f t="shared" si="0"/>
        <v>246</v>
      </c>
      <c r="AO31" t="s">
        <v>115</v>
      </c>
    </row>
    <row r="32" spans="1:41" x14ac:dyDescent="0.25">
      <c r="A32" s="11" t="s">
        <v>100</v>
      </c>
      <c r="B32" s="20" t="s">
        <v>73</v>
      </c>
      <c r="C32" s="20" t="s">
        <v>74</v>
      </c>
      <c r="D32" s="11"/>
      <c r="E32" s="11"/>
      <c r="F32" s="36">
        <f>'March 2026'!AL32</f>
        <v>166</v>
      </c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32"/>
      <c r="AA32" s="32"/>
      <c r="AB32" s="25"/>
      <c r="AC32" s="25"/>
      <c r="AD32" s="25"/>
      <c r="AE32" s="25"/>
      <c r="AF32" s="25"/>
      <c r="AG32" s="25"/>
      <c r="AH32" s="25"/>
      <c r="AI32" s="25"/>
      <c r="AJ32" s="25"/>
      <c r="AK32" s="35">
        <f t="shared" si="0"/>
        <v>166</v>
      </c>
      <c r="AL32">
        <v>100</v>
      </c>
      <c r="AM32">
        <v>150</v>
      </c>
      <c r="AN32">
        <v>500</v>
      </c>
    </row>
    <row r="33" spans="1:41" x14ac:dyDescent="0.25">
      <c r="A33" s="11" t="s">
        <v>100</v>
      </c>
      <c r="B33" s="20" t="s">
        <v>75</v>
      </c>
      <c r="C33" s="20" t="s">
        <v>76</v>
      </c>
      <c r="D33" s="11"/>
      <c r="E33" s="11"/>
      <c r="F33" s="36">
        <f>'March 2026'!AL33</f>
        <v>145</v>
      </c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35">
        <f t="shared" si="0"/>
        <v>145</v>
      </c>
      <c r="AO33" t="s">
        <v>115</v>
      </c>
    </row>
    <row r="34" spans="1:41" x14ac:dyDescent="0.25">
      <c r="A34" s="11" t="s">
        <v>99</v>
      </c>
      <c r="B34" s="20" t="s">
        <v>77</v>
      </c>
      <c r="C34" s="20" t="s">
        <v>78</v>
      </c>
      <c r="D34" s="11"/>
      <c r="E34" s="11"/>
      <c r="F34" s="36">
        <f>'March 2026'!AL34</f>
        <v>38</v>
      </c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35">
        <f t="shared" si="0"/>
        <v>38</v>
      </c>
      <c r="AO34" t="s">
        <v>115</v>
      </c>
    </row>
    <row r="35" spans="1:41" x14ac:dyDescent="0.25">
      <c r="A35" s="11" t="s">
        <v>100</v>
      </c>
      <c r="B35" s="20" t="s">
        <v>79</v>
      </c>
      <c r="C35" s="20" t="s">
        <v>80</v>
      </c>
      <c r="D35" s="11"/>
      <c r="E35" s="11"/>
      <c r="F35" s="36">
        <f>'March 2026'!AL35</f>
        <v>8</v>
      </c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35">
        <f t="shared" si="0"/>
        <v>8</v>
      </c>
      <c r="AO35" t="s">
        <v>115</v>
      </c>
    </row>
    <row r="36" spans="1:41" x14ac:dyDescent="0.25">
      <c r="A36" s="11" t="s">
        <v>99</v>
      </c>
      <c r="B36" s="20" t="s">
        <v>81</v>
      </c>
      <c r="C36" s="20" t="s">
        <v>82</v>
      </c>
      <c r="D36" s="11"/>
      <c r="E36" s="11"/>
      <c r="F36" s="36">
        <f>'March 2026'!AL36</f>
        <v>150</v>
      </c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35">
        <f t="shared" si="0"/>
        <v>150</v>
      </c>
      <c r="AO36" t="s">
        <v>115</v>
      </c>
    </row>
    <row r="37" spans="1:41" x14ac:dyDescent="0.25">
      <c r="A37" s="11" t="s">
        <v>100</v>
      </c>
      <c r="B37" s="20" t="s">
        <v>83</v>
      </c>
      <c r="C37" s="20" t="s">
        <v>84</v>
      </c>
      <c r="D37" s="11"/>
      <c r="E37" s="11"/>
      <c r="F37" s="36">
        <f>'March 2026'!AL37</f>
        <v>150</v>
      </c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35">
        <f t="shared" si="0"/>
        <v>150</v>
      </c>
      <c r="AO37" t="s">
        <v>115</v>
      </c>
    </row>
    <row r="38" spans="1:41" x14ac:dyDescent="0.25">
      <c r="A38" s="11" t="s">
        <v>99</v>
      </c>
      <c r="B38" s="20" t="s">
        <v>85</v>
      </c>
      <c r="C38" s="20" t="s">
        <v>86</v>
      </c>
      <c r="D38" s="11"/>
      <c r="E38" s="11"/>
      <c r="F38" s="36">
        <f>'March 2026'!AL38</f>
        <v>57</v>
      </c>
      <c r="G38" s="25">
        <v>-6</v>
      </c>
      <c r="H38" s="25"/>
      <c r="I38" s="25"/>
      <c r="J38" s="25"/>
      <c r="K38" s="25"/>
      <c r="L38" s="25">
        <v>-10</v>
      </c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35">
        <f t="shared" si="0"/>
        <v>41</v>
      </c>
      <c r="AO38" t="s">
        <v>115</v>
      </c>
    </row>
    <row r="39" spans="1:41" x14ac:dyDescent="0.25">
      <c r="A39" s="11" t="s">
        <v>100</v>
      </c>
      <c r="B39" s="20" t="s">
        <v>87</v>
      </c>
      <c r="C39" s="20" t="s">
        <v>88</v>
      </c>
      <c r="D39" s="11"/>
      <c r="E39" s="11"/>
      <c r="F39" s="36">
        <f>'March 2026'!AL39</f>
        <v>-2</v>
      </c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35">
        <f t="shared" si="0"/>
        <v>-2</v>
      </c>
      <c r="AO39" t="s">
        <v>115</v>
      </c>
    </row>
    <row r="40" spans="1:41" x14ac:dyDescent="0.25">
      <c r="A40" s="11" t="s">
        <v>101</v>
      </c>
      <c r="B40" s="20" t="s">
        <v>89</v>
      </c>
      <c r="C40" s="20" t="s">
        <v>90</v>
      </c>
      <c r="D40" s="11"/>
      <c r="E40" s="11"/>
      <c r="F40" s="36">
        <f>'March 2026'!AL40</f>
        <v>5</v>
      </c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35">
        <f t="shared" si="0"/>
        <v>5</v>
      </c>
      <c r="AO40" t="s">
        <v>115</v>
      </c>
    </row>
    <row r="41" spans="1:41" x14ac:dyDescent="0.25">
      <c r="A41" s="11" t="s">
        <v>102</v>
      </c>
      <c r="B41" s="20" t="s">
        <v>91</v>
      </c>
      <c r="C41" s="20" t="s">
        <v>92</v>
      </c>
      <c r="D41" s="11"/>
      <c r="E41" s="11"/>
      <c r="F41" s="36">
        <f>'March 2026'!AL41</f>
        <v>48</v>
      </c>
      <c r="G41" s="25">
        <v>-2</v>
      </c>
      <c r="H41" s="25"/>
      <c r="I41" s="25"/>
      <c r="J41" s="25"/>
      <c r="K41" s="25"/>
      <c r="L41" s="25"/>
      <c r="M41" s="25">
        <v>-2</v>
      </c>
      <c r="N41" s="25"/>
      <c r="O41" s="25"/>
      <c r="P41" s="25"/>
      <c r="Q41" s="25"/>
      <c r="R41" s="25"/>
      <c r="S41" s="25">
        <v>-12</v>
      </c>
      <c r="T41" s="25"/>
      <c r="U41" s="32"/>
      <c r="V41" s="25"/>
      <c r="W41" s="25"/>
      <c r="X41" s="25"/>
      <c r="Y41" s="25"/>
      <c r="Z41" s="32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35">
        <f t="shared" si="0"/>
        <v>32</v>
      </c>
      <c r="AL41">
        <v>10</v>
      </c>
      <c r="AM41">
        <v>15</v>
      </c>
      <c r="AN41">
        <v>25</v>
      </c>
    </row>
    <row r="42" spans="1:41" x14ac:dyDescent="0.25">
      <c r="A42" s="11" t="s">
        <v>101</v>
      </c>
      <c r="B42" s="20" t="s">
        <v>93</v>
      </c>
      <c r="C42" s="20" t="s">
        <v>94</v>
      </c>
      <c r="D42" s="11"/>
      <c r="E42" s="11"/>
      <c r="F42" s="36">
        <f>'March 2026'!AL42</f>
        <v>33</v>
      </c>
      <c r="G42" s="25"/>
      <c r="H42" s="25"/>
      <c r="I42" s="25"/>
      <c r="J42" s="25"/>
      <c r="K42" s="25"/>
      <c r="L42" s="25"/>
      <c r="M42" s="25">
        <v>-2</v>
      </c>
      <c r="N42" s="25"/>
      <c r="O42" s="25"/>
      <c r="P42" s="25"/>
      <c r="Q42" s="25"/>
      <c r="R42" s="39">
        <v>30</v>
      </c>
      <c r="S42" s="25">
        <v>-12</v>
      </c>
      <c r="T42" s="25"/>
      <c r="U42" s="32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35">
        <f t="shared" si="0"/>
        <v>49</v>
      </c>
      <c r="AL42">
        <v>10</v>
      </c>
      <c r="AM42">
        <v>15</v>
      </c>
      <c r="AN42">
        <v>25</v>
      </c>
    </row>
    <row r="43" spans="1:41" x14ac:dyDescent="0.25">
      <c r="A43" s="20" t="s">
        <v>101</v>
      </c>
      <c r="B43" s="20" t="s">
        <v>95</v>
      </c>
      <c r="C43" s="20" t="s">
        <v>96</v>
      </c>
      <c r="D43" s="11"/>
      <c r="E43" s="11"/>
      <c r="F43" s="36">
        <f>'March 2026'!AL43</f>
        <v>0</v>
      </c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35">
        <f t="shared" si="0"/>
        <v>0</v>
      </c>
      <c r="AO43" t="s">
        <v>115</v>
      </c>
    </row>
    <row r="44" spans="1:41" x14ac:dyDescent="0.25">
      <c r="A44" s="31" t="s">
        <v>107</v>
      </c>
      <c r="B44" s="20" t="s">
        <v>103</v>
      </c>
      <c r="C44" s="20" t="s">
        <v>104</v>
      </c>
      <c r="D44" s="11"/>
      <c r="E44" s="11"/>
      <c r="F44" s="36">
        <f>'March 2026'!AL44</f>
        <v>0</v>
      </c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>
        <v>-87</v>
      </c>
      <c r="T44" s="39">
        <v>200</v>
      </c>
      <c r="U44" s="25">
        <v>-79</v>
      </c>
      <c r="V44" s="25"/>
      <c r="W44" s="25">
        <v>-31</v>
      </c>
      <c r="X44" s="32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35">
        <f t="shared" si="0"/>
        <v>3</v>
      </c>
      <c r="AL44">
        <v>200</v>
      </c>
      <c r="AM44">
        <v>250</v>
      </c>
      <c r="AN44">
        <v>500</v>
      </c>
    </row>
    <row r="45" spans="1:41" x14ac:dyDescent="0.25">
      <c r="A45" s="31" t="s">
        <v>107</v>
      </c>
      <c r="B45" s="20" t="s">
        <v>105</v>
      </c>
      <c r="C45" s="20" t="s">
        <v>106</v>
      </c>
      <c r="D45" s="11"/>
      <c r="E45" s="11"/>
      <c r="F45" s="36">
        <f>'March 2026'!AL45</f>
        <v>5</v>
      </c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35">
        <f t="shared" si="0"/>
        <v>5</v>
      </c>
      <c r="AL45">
        <v>200</v>
      </c>
      <c r="AM45">
        <v>250</v>
      </c>
      <c r="AN45">
        <v>500</v>
      </c>
    </row>
    <row r="46" spans="1:41" x14ac:dyDescent="0.25">
      <c r="A46" s="31" t="s">
        <v>100</v>
      </c>
      <c r="B46" s="20"/>
      <c r="C46" s="20" t="s">
        <v>108</v>
      </c>
      <c r="D46" s="11"/>
      <c r="E46" s="11"/>
      <c r="F46" s="36">
        <f>'March 2026'!AL46</f>
        <v>95</v>
      </c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35">
        <f t="shared" si="0"/>
        <v>95</v>
      </c>
      <c r="AO46" t="s">
        <v>115</v>
      </c>
    </row>
    <row r="47" spans="1:41" x14ac:dyDescent="0.25">
      <c r="A47" s="20" t="s">
        <v>101</v>
      </c>
      <c r="B47" s="20" t="s">
        <v>109</v>
      </c>
      <c r="C47" s="20" t="s">
        <v>110</v>
      </c>
      <c r="D47" s="11"/>
      <c r="E47" s="11"/>
      <c r="F47" s="36">
        <f>'March 2026'!AL47</f>
        <v>31</v>
      </c>
      <c r="G47" s="25"/>
      <c r="H47" s="25"/>
      <c r="I47" s="25"/>
      <c r="J47" s="25"/>
      <c r="K47" s="25"/>
      <c r="L47" s="25"/>
      <c r="M47" s="25">
        <v>-2</v>
      </c>
      <c r="N47" s="25"/>
      <c r="O47" s="25"/>
      <c r="P47" s="25"/>
      <c r="Q47" s="25"/>
      <c r="R47" s="32"/>
      <c r="S47" s="25">
        <v>-11</v>
      </c>
      <c r="T47" s="25"/>
      <c r="U47" s="25"/>
      <c r="V47" s="25"/>
      <c r="W47" s="25"/>
      <c r="X47" s="25"/>
      <c r="Y47" s="25"/>
      <c r="Z47" s="32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35">
        <f t="shared" si="0"/>
        <v>18</v>
      </c>
      <c r="AL47">
        <v>10</v>
      </c>
      <c r="AM47">
        <v>15</v>
      </c>
      <c r="AN47">
        <v>25</v>
      </c>
    </row>
    <row r="48" spans="1:41" x14ac:dyDescent="0.25">
      <c r="A48" s="11"/>
      <c r="B48" s="20"/>
      <c r="C48" s="20" t="s">
        <v>111</v>
      </c>
      <c r="D48" s="11"/>
      <c r="E48" s="11"/>
      <c r="F48" s="36">
        <f>'March 2026'!AL48</f>
        <v>33</v>
      </c>
      <c r="G48" s="25"/>
      <c r="H48" s="25"/>
      <c r="I48" s="25"/>
      <c r="J48" s="25"/>
      <c r="K48" s="25"/>
      <c r="L48" s="25">
        <v>-33</v>
      </c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35">
        <f t="shared" si="0"/>
        <v>0</v>
      </c>
    </row>
    <row r="49" spans="1:41" x14ac:dyDescent="0.25">
      <c r="A49" s="11"/>
      <c r="B49" s="20"/>
      <c r="C49" s="20" t="s">
        <v>113</v>
      </c>
      <c r="D49" s="11"/>
      <c r="E49" s="11"/>
      <c r="F49" s="36">
        <f>'March 2026'!AL49</f>
        <v>26</v>
      </c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35">
        <f t="shared" si="0"/>
        <v>26</v>
      </c>
    </row>
    <row r="50" spans="1:41" x14ac:dyDescent="0.25">
      <c r="A50" s="11"/>
      <c r="B50" s="20"/>
      <c r="C50" s="20"/>
      <c r="D50" s="11"/>
      <c r="E50" s="11"/>
      <c r="F50" s="11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35"/>
    </row>
    <row r="51" spans="1:41" x14ac:dyDescent="0.25">
      <c r="A51" s="11"/>
      <c r="B51" s="20"/>
      <c r="C51" s="20"/>
      <c r="D51" s="11"/>
      <c r="E51" s="11"/>
      <c r="F51" s="11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6"/>
    </row>
    <row r="52" spans="1:41" x14ac:dyDescent="0.25">
      <c r="A52" s="11"/>
      <c r="B52" s="20"/>
      <c r="C52" s="20"/>
      <c r="D52" s="11"/>
      <c r="E52" s="11"/>
      <c r="F52" s="11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6"/>
    </row>
    <row r="53" spans="1:41" x14ac:dyDescent="0.25">
      <c r="A53" s="11"/>
      <c r="B53" s="20"/>
      <c r="C53" s="20"/>
      <c r="D53" s="11"/>
      <c r="E53" s="11"/>
      <c r="F53" s="11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6"/>
    </row>
    <row r="54" spans="1:41" ht="15.75" thickBot="1" x14ac:dyDescent="0.3">
      <c r="A54" s="1"/>
      <c r="B54" s="2"/>
      <c r="C54" s="2"/>
      <c r="D54" s="29"/>
      <c r="E54" s="30"/>
      <c r="F54" s="30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1"/>
      <c r="AL54" s="1"/>
      <c r="AM54" s="1"/>
      <c r="AN54" s="1"/>
      <c r="AO54" s="1"/>
    </row>
    <row r="55" spans="1:41" ht="32.25" thickBot="1" x14ac:dyDescent="0.3">
      <c r="A55" s="1"/>
      <c r="B55" s="6" t="s">
        <v>21</v>
      </c>
      <c r="C55" s="18"/>
      <c r="D55" s="19"/>
      <c r="E55" s="9" t="s">
        <v>22</v>
      </c>
      <c r="F55" s="22" t="s">
        <v>23</v>
      </c>
      <c r="G55" s="27" t="s">
        <v>24</v>
      </c>
      <c r="H55" s="28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 ht="16.5" thickBot="1" x14ac:dyDescent="0.3">
      <c r="A56" s="1"/>
      <c r="B56" s="7" t="s">
        <v>25</v>
      </c>
      <c r="C56" s="19"/>
      <c r="D56" s="19"/>
      <c r="E56" s="8"/>
      <c r="F56" s="21"/>
      <c r="G56" s="40"/>
      <c r="H56" s="4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 ht="32.25" thickBot="1" x14ac:dyDescent="0.3">
      <c r="A57" s="1"/>
      <c r="B57" s="7" t="s">
        <v>26</v>
      </c>
      <c r="C57" s="19"/>
      <c r="D57" s="19"/>
      <c r="E57" s="9"/>
      <c r="F57" s="22"/>
      <c r="G57" s="42"/>
      <c r="H57" s="43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 ht="16.5" thickBot="1" x14ac:dyDescent="0.3">
      <c r="A58" s="1"/>
      <c r="B58" s="7" t="s">
        <v>27</v>
      </c>
      <c r="C58" s="19"/>
      <c r="D58" s="19"/>
      <c r="E58" s="10"/>
      <c r="F58" s="23"/>
      <c r="G58" s="44"/>
      <c r="H58" s="45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 ht="15.75" x14ac:dyDescent="0.25">
      <c r="A59" s="1"/>
      <c r="B59" s="46" t="s">
        <v>28</v>
      </c>
      <c r="C59" s="16"/>
      <c r="D59" s="16"/>
      <c r="E59" s="49"/>
      <c r="F59" s="52"/>
      <c r="G59" s="55"/>
      <c r="H59" s="56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ht="15.75" x14ac:dyDescent="0.25">
      <c r="A60" s="1"/>
      <c r="B60" s="47"/>
      <c r="C60" s="17"/>
      <c r="D60" s="17"/>
      <c r="E60" s="50"/>
      <c r="F60" s="53"/>
      <c r="G60" s="55"/>
      <c r="H60" s="56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 ht="16.5" thickBot="1" x14ac:dyDescent="0.3">
      <c r="A61" s="1"/>
      <c r="B61" s="48"/>
      <c r="C61" s="7"/>
      <c r="D61" s="7"/>
      <c r="E61" s="51"/>
      <c r="F61" s="54"/>
      <c r="G61" s="57"/>
      <c r="H61" s="58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 x14ac:dyDescent="0.25">
      <c r="A62" s="1"/>
      <c r="B62" s="2"/>
      <c r="C62" s="2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 x14ac:dyDescent="0.25">
      <c r="A63" s="1"/>
      <c r="B63" s="2"/>
      <c r="C63" s="2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</sheetData>
  <mergeCells count="24">
    <mergeCell ref="E1:Q1"/>
    <mergeCell ref="E2:Q2"/>
    <mergeCell ref="E3:Q3"/>
    <mergeCell ref="E4:Q4"/>
    <mergeCell ref="E5:G5"/>
    <mergeCell ref="H5:J5"/>
    <mergeCell ref="K5:L5"/>
    <mergeCell ref="N5:O5"/>
    <mergeCell ref="P5:Q5"/>
    <mergeCell ref="E6:G6"/>
    <mergeCell ref="H6:J6"/>
    <mergeCell ref="K6:L6"/>
    <mergeCell ref="M6:Q6"/>
    <mergeCell ref="E7:G7"/>
    <mergeCell ref="H7:J7"/>
    <mergeCell ref="K7:L7"/>
    <mergeCell ref="M7:Q7"/>
    <mergeCell ref="G56:H56"/>
    <mergeCell ref="G57:H57"/>
    <mergeCell ref="G58:H58"/>
    <mergeCell ref="B59:B61"/>
    <mergeCell ref="E59:E61"/>
    <mergeCell ref="F59:F61"/>
    <mergeCell ref="G59:H61"/>
  </mergeCells>
  <conditionalFormatting sqref="AK11:AK53">
    <cfRule type="cellIs" dxfId="2" priority="1" operator="greaterThan">
      <formula>#REF!</formula>
    </cfRule>
    <cfRule type="cellIs" dxfId="1" priority="2" operator="between">
      <formula>11</formula>
      <formula>50</formula>
    </cfRule>
    <cfRule type="cellIs" dxfId="0" priority="3" operator="lessThan">
      <formula>#REF!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Jan 2026</vt:lpstr>
      <vt:lpstr>Feb 2026</vt:lpstr>
      <vt:lpstr>March 2026</vt:lpstr>
      <vt:lpstr>April 2026</vt:lpstr>
      <vt:lpstr>'Jan 2026'!_Hlk122640495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2026-04-20T10:16:32Z</dcterms:modified>
  <cp:category/>
  <cp:contentStatus/>
</cp:coreProperties>
</file>