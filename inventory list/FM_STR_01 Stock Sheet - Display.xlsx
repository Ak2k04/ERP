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24B9BD8A-4A0C-4CB3-9583-97CBE80AFA97}" xr6:coauthVersionLast="47" xr6:coauthVersionMax="47" xr10:uidLastSave="{00000000-0000-0000-0000-000000000000}"/>
  <bookViews>
    <workbookView xWindow="-120" yWindow="-120" windowWidth="24240" windowHeight="13140" activeTab="3" xr2:uid="{00000000-000D-0000-FFFF-FFFF00000000}"/>
  </bookViews>
  <sheets>
    <sheet name="Jan 2026" sheetId="1" r:id="rId1"/>
    <sheet name="Feb 2026" sheetId="5" r:id="rId2"/>
    <sheet name="March 2026" sheetId="6" r:id="rId3"/>
    <sheet name="April 2026" sheetId="7" r:id="rId4"/>
  </sheets>
  <definedNames>
    <definedName name="_xlnm._FilterDatabase" localSheetId="1" hidden="1">'Feb 2026'!$A$10:$AL$38</definedName>
    <definedName name="_xlnm._FilterDatabase" localSheetId="0" hidden="1">'Jan 2026'!$A$10:$AO$39</definedName>
    <definedName name="_xlnm._FilterDatabase" localSheetId="2" hidden="1">'March 2026'!$A$10:$AO$37</definedName>
    <definedName name="_Hlk122640495" localSheetId="0">'Jan 2026'!$B$42</definedName>
    <definedName name="_Hlk126512593" localSheetId="0">'Jan 2026'!#REF!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3" i="6" l="1"/>
  <c r="I23" i="7"/>
  <c r="F12" i="7"/>
  <c r="F13" i="7"/>
  <c r="F14" i="7"/>
  <c r="F15" i="7"/>
  <c r="AK15" i="7" s="1"/>
  <c r="F16" i="7"/>
  <c r="F17" i="7"/>
  <c r="F18" i="7"/>
  <c r="F19" i="7"/>
  <c r="AK19" i="7" s="1"/>
  <c r="F20" i="7"/>
  <c r="F21" i="7"/>
  <c r="F22" i="7"/>
  <c r="F24" i="7"/>
  <c r="F25" i="7"/>
  <c r="F26" i="7"/>
  <c r="F27" i="7"/>
  <c r="AK27" i="7" s="1"/>
  <c r="F28" i="7"/>
  <c r="F29" i="7"/>
  <c r="F30" i="7"/>
  <c r="F31" i="7"/>
  <c r="AK31" i="7" s="1"/>
  <c r="F32" i="7"/>
  <c r="F33" i="7"/>
  <c r="F34" i="7"/>
  <c r="F35" i="7"/>
  <c r="AK35" i="7" s="1"/>
  <c r="F36" i="7"/>
  <c r="F37" i="7"/>
  <c r="F11" i="7"/>
  <c r="AK37" i="7"/>
  <c r="AK36" i="7"/>
  <c r="AK34" i="7"/>
  <c r="AK33" i="7"/>
  <c r="AK32" i="7"/>
  <c r="AK30" i="7"/>
  <c r="AK29" i="7"/>
  <c r="AK28" i="7"/>
  <c r="AK26" i="7"/>
  <c r="AK25" i="7"/>
  <c r="AK24" i="7"/>
  <c r="AK22" i="7"/>
  <c r="AK20" i="7"/>
  <c r="AK18" i="7"/>
  <c r="AK17" i="7"/>
  <c r="AK16" i="7"/>
  <c r="AK14" i="7"/>
  <c r="AK13" i="7"/>
  <c r="AK12" i="7"/>
  <c r="AK11" i="7"/>
  <c r="R21" i="6"/>
  <c r="AK21" i="7" l="1"/>
  <c r="L23" i="6" l="1"/>
  <c r="AF21" i="5"/>
  <c r="AG21" i="5"/>
  <c r="F13" i="1"/>
  <c r="Q23" i="5" l="1"/>
  <c r="AH23" i="1" l="1"/>
  <c r="W13" i="1"/>
  <c r="X23" i="1"/>
  <c r="P23" i="1"/>
  <c r="L23" i="1"/>
  <c r="H13" i="1"/>
  <c r="AL12" i="1" l="1"/>
  <c r="F12" i="5" s="1"/>
  <c r="AI12" i="5" s="1"/>
  <c r="F12" i="6" s="1"/>
  <c r="AL12" i="6" s="1"/>
  <c r="AL13" i="1"/>
  <c r="F13" i="5" s="1"/>
  <c r="AI13" i="5" s="1"/>
  <c r="F13" i="6" s="1"/>
  <c r="AL13" i="6" s="1"/>
  <c r="AL14" i="1"/>
  <c r="F14" i="5" s="1"/>
  <c r="AI14" i="5" s="1"/>
  <c r="F14" i="6" s="1"/>
  <c r="AL14" i="6" s="1"/>
  <c r="AL15" i="1"/>
  <c r="F15" i="5" s="1"/>
  <c r="AI15" i="5" s="1"/>
  <c r="F15" i="6" s="1"/>
  <c r="AL15" i="6" s="1"/>
  <c r="AL16" i="1"/>
  <c r="F16" i="5" s="1"/>
  <c r="AI16" i="5" s="1"/>
  <c r="F16" i="6" s="1"/>
  <c r="AL16" i="6" s="1"/>
  <c r="AL17" i="1"/>
  <c r="F17" i="5" s="1"/>
  <c r="AI17" i="5" s="1"/>
  <c r="F17" i="6" s="1"/>
  <c r="AL17" i="6" s="1"/>
  <c r="AL18" i="1"/>
  <c r="F18" i="5" s="1"/>
  <c r="AI18" i="5" s="1"/>
  <c r="F18" i="6" s="1"/>
  <c r="AL18" i="6" s="1"/>
  <c r="AL19" i="1"/>
  <c r="F19" i="5" s="1"/>
  <c r="AI19" i="5" s="1"/>
  <c r="F19" i="6" s="1"/>
  <c r="AL19" i="6" s="1"/>
  <c r="AL20" i="1"/>
  <c r="F20" i="5" s="1"/>
  <c r="AI20" i="5" s="1"/>
  <c r="F20" i="6" s="1"/>
  <c r="AL20" i="6" s="1"/>
  <c r="AL21" i="1"/>
  <c r="F21" i="5" s="1"/>
  <c r="AI21" i="5" s="1"/>
  <c r="F21" i="6" s="1"/>
  <c r="AL21" i="6" s="1"/>
  <c r="AL22" i="1"/>
  <c r="F22" i="5" s="1"/>
  <c r="AI22" i="5" s="1"/>
  <c r="F22" i="6" s="1"/>
  <c r="AL22" i="6" s="1"/>
  <c r="AL23" i="1"/>
  <c r="F23" i="5" s="1"/>
  <c r="AI23" i="5" s="1"/>
  <c r="F23" i="6" s="1"/>
  <c r="AL23" i="6" s="1"/>
  <c r="F23" i="7" s="1"/>
  <c r="AK23" i="7" s="1"/>
  <c r="AL24" i="1"/>
  <c r="F24" i="5" s="1"/>
  <c r="AI24" i="5" s="1"/>
  <c r="F24" i="6" s="1"/>
  <c r="AL24" i="6" s="1"/>
  <c r="AL25" i="1"/>
  <c r="F25" i="5" s="1"/>
  <c r="AI25" i="5" s="1"/>
  <c r="F25" i="6" s="1"/>
  <c r="AL25" i="6" s="1"/>
  <c r="AL26" i="1"/>
  <c r="F26" i="5" s="1"/>
  <c r="AI26" i="5" s="1"/>
  <c r="F26" i="6" s="1"/>
  <c r="AL26" i="6" s="1"/>
  <c r="AL27" i="1"/>
  <c r="F27" i="5" s="1"/>
  <c r="AI27" i="5" s="1"/>
  <c r="F27" i="6" s="1"/>
  <c r="AL27" i="6" s="1"/>
  <c r="AL28" i="1"/>
  <c r="F28" i="5" s="1"/>
  <c r="AI28" i="5" s="1"/>
  <c r="F28" i="6" s="1"/>
  <c r="AL28" i="6" s="1"/>
  <c r="AL29" i="1"/>
  <c r="F29" i="5" s="1"/>
  <c r="AI29" i="5" s="1"/>
  <c r="F29" i="6" s="1"/>
  <c r="AL29" i="6" s="1"/>
  <c r="AL30" i="1"/>
  <c r="F30" i="5" s="1"/>
  <c r="AI30" i="5" s="1"/>
  <c r="F30" i="6" s="1"/>
  <c r="AL30" i="6" s="1"/>
  <c r="AL31" i="1"/>
  <c r="F31" i="5" s="1"/>
  <c r="AI31" i="5" s="1"/>
  <c r="F31" i="6" s="1"/>
  <c r="AL31" i="6" s="1"/>
  <c r="AL32" i="1"/>
  <c r="F32" i="5" s="1"/>
  <c r="AI32" i="5" s="1"/>
  <c r="F32" i="6" s="1"/>
  <c r="AL32" i="6" s="1"/>
  <c r="AL33" i="1"/>
  <c r="F33" i="5" s="1"/>
  <c r="AI33" i="5" s="1"/>
  <c r="F33" i="6" s="1"/>
  <c r="AL33" i="6" s="1"/>
  <c r="AL34" i="1"/>
  <c r="F34" i="5" s="1"/>
  <c r="AI34" i="5" s="1"/>
  <c r="F34" i="6" s="1"/>
  <c r="AL34" i="6" s="1"/>
  <c r="AL35" i="1"/>
  <c r="F35" i="5" s="1"/>
  <c r="AI35" i="5" s="1"/>
  <c r="F35" i="6" s="1"/>
  <c r="AL35" i="6" s="1"/>
  <c r="AL36" i="1"/>
  <c r="F36" i="5" s="1"/>
  <c r="AI36" i="5" s="1"/>
  <c r="F36" i="6" s="1"/>
  <c r="AL36" i="6" s="1"/>
  <c r="AL37" i="1"/>
  <c r="F37" i="5" s="1"/>
  <c r="AI37" i="5" s="1"/>
  <c r="F37" i="6" s="1"/>
  <c r="AL37" i="6" s="1"/>
  <c r="AL38" i="1"/>
  <c r="F38" i="5" s="1"/>
  <c r="AL39" i="1"/>
  <c r="AL11" i="1"/>
  <c r="F11" i="5" s="1"/>
  <c r="Q21" i="5"/>
  <c r="AD23" i="5"/>
  <c r="AF23" i="5"/>
  <c r="X13" i="5"/>
  <c r="AI11" i="5" l="1"/>
  <c r="F11" i="6" s="1"/>
  <c r="AL11" i="6" s="1"/>
  <c r="AH69" i="5"/>
  <c r="AH70" i="5"/>
  <c r="AH71" i="5"/>
  <c r="AH72" i="5"/>
  <c r="AH73" i="5"/>
  <c r="AH74" i="5"/>
  <c r="AH75" i="5"/>
  <c r="AH76" i="5"/>
  <c r="AH77" i="5"/>
  <c r="AH78" i="5"/>
  <c r="AH79" i="5"/>
  <c r="AH80" i="5"/>
  <c r="AH81" i="5"/>
  <c r="AH82" i="5"/>
  <c r="AH83" i="5"/>
  <c r="AH84" i="5"/>
  <c r="AH85" i="5"/>
  <c r="AH86" i="5"/>
  <c r="AH87" i="5"/>
  <c r="F67" i="5"/>
  <c r="AH67" i="5" s="1"/>
  <c r="F49" i="5"/>
  <c r="AH49" i="5" s="1"/>
  <c r="F50" i="5"/>
  <c r="AH50" i="5" s="1"/>
  <c r="F51" i="5"/>
  <c r="AH51" i="5" s="1"/>
  <c r="F52" i="5"/>
  <c r="AH52" i="5" s="1"/>
  <c r="F53" i="5"/>
  <c r="AH53" i="5" s="1"/>
  <c r="F54" i="5"/>
  <c r="AH54" i="5" s="1"/>
  <c r="F55" i="5"/>
  <c r="AH55" i="5" s="1"/>
  <c r="F56" i="5"/>
  <c r="AH56" i="5" s="1"/>
  <c r="F57" i="5"/>
  <c r="AH57" i="5" s="1"/>
  <c r="F58" i="5"/>
  <c r="AH58" i="5" s="1"/>
  <c r="F59" i="5"/>
  <c r="AH59" i="5" s="1"/>
  <c r="F60" i="5"/>
  <c r="AH60" i="5" s="1"/>
  <c r="F61" i="5"/>
  <c r="AH61" i="5" s="1"/>
  <c r="F62" i="5"/>
  <c r="AH62" i="5" s="1"/>
  <c r="F63" i="5"/>
  <c r="AH63" i="5" s="1"/>
  <c r="F64" i="5"/>
  <c r="AH64" i="5" s="1"/>
  <c r="F65" i="5"/>
  <c r="AH65" i="5" s="1"/>
  <c r="F66" i="5"/>
  <c r="AH66" i="5" s="1"/>
  <c r="F68" i="5"/>
  <c r="AH68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FFFE1B98-EF52-4F96-A72E-18ED636A084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  <comment ref="W11" authorId="0" shapeId="0" xr:uid="{7C574664-B827-418F-91E8-FF11133DF56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KM Global Links               Inv-KML/25-26/00678  Dt.17-Jan-26</t>
        </r>
      </text>
    </comment>
    <comment ref="AB11" authorId="0" shapeId="0" xr:uid="{4235B789-9F3A-4B42-A080-68D50971DDD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KM Global Links                Inv-KML/25-26/00683  Dt.22-Jan-26</t>
        </r>
      </text>
    </comment>
    <comment ref="K13" authorId="0" shapeId="0" xr:uid="{9955966C-222F-4C5F-AE72-377DE2EC607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KM Global Links                     Inv-00659  Dt.6-Jan-26</t>
        </r>
      </text>
    </comment>
    <comment ref="Z13" authorId="0" shapeId="0" xr:uid="{F94E1285-0833-441E-9C67-5142A64559A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Mangalam Electronics          Inv-3058/25-26 Dt-21-jan-26</t>
        </r>
      </text>
    </comment>
    <comment ref="K19" authorId="0" shapeId="0" xr:uid="{C02D3300-A4B0-4978-A382-3742FB6F841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KM Global Links                     Inv-00659  Dt.6-Jan-26</t>
        </r>
      </text>
    </comment>
    <comment ref="I21" authorId="0" shapeId="0" xr:uid="{0222CC0B-CD43-4C4D-9125-941CB548849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MY Choice IT Hub                    Inv-2778   Dt.03-Jan-26         </t>
        </r>
      </text>
    </comment>
    <comment ref="V21" authorId="0" shapeId="0" xr:uid="{514497F3-456C-4E5D-9C3F-51A4F8A9F02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MY Choice IT Hub                    Inv-2972   Dt.16-Jan-26         </t>
        </r>
      </text>
    </comment>
    <comment ref="X21" authorId="0" shapeId="0" xr:uid="{87B80DB4-978A-4B3D-8BE1-C4C4501D172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MY Choice IT Hub                    Inv-3020   Dt.19-Jan-26         </t>
        </r>
      </text>
    </comment>
    <comment ref="AC21" authorId="0" shapeId="0" xr:uid="{3008E88E-BDFD-4305-A14A-DF15E98612B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MY Choice IT Hub               Inv-3073/25-26  Dt.23-jan-26</t>
        </r>
      </text>
    </comment>
    <comment ref="K23" authorId="0" shapeId="0" xr:uid="{90F13A6A-A656-4E08-84AE-9BB4C1123E2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KM Global Links                     Inv-00659  Dt.6-Jan-26</t>
        </r>
      </text>
    </comment>
    <comment ref="M23" authorId="0" shapeId="0" xr:uid="{368F8650-9C2B-4A64-B2CA-F4279731ED2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Kwality Tech Zone LLP     Inv -25-26/KTZ/15257 Dt.7-Jan-26</t>
        </r>
      </text>
    </comment>
    <comment ref="N23" authorId="0" shapeId="0" xr:uid="{9210A6B9-D0B5-4672-8B54-5DF819094EB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KM Global Links                     Inv-00656  Dt.9-Jan-26</t>
        </r>
      </text>
    </comment>
    <comment ref="O23" authorId="0" shapeId="0" xr:uid="{6A1B7850-C4BD-4EF3-94E3-B21C8B96952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Kwality Tech Zone LLP     Inv -25-26/KTZ/15457 Dt.9-Jan-26</t>
        </r>
      </text>
    </comment>
    <comment ref="T23" authorId="0" shapeId="0" xr:uid="{C51E5A4F-F6BC-4624-9AE6-9E1E16ED74D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Kwality Tech Zone LLP     Inv -25-26/KTZ/15700 Dt.14Jan-26</t>
        </r>
      </text>
    </comment>
    <comment ref="W23" authorId="0" shapeId="0" xr:uid="{51802619-FD09-413E-9A28-A3E35FE4517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KM Global Links               Inv-KML/25-26/00678  Dt.17-Jan-26</t>
        </r>
      </text>
    </comment>
    <comment ref="AA23" authorId="0" shapeId="0" xr:uid="{D8FA0517-CC52-4B34-8007-E79051E9FD2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Kwality Tech Zone LLP     Inv -25-26/KTZ/16010 Dt.21-Jan-26</t>
        </r>
      </text>
    </comment>
    <comment ref="AI23" authorId="0" shapeId="0" xr:uid="{9515B157-5A46-4D40-8C4F-32E4DF5F4CC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Kwality Tech Zone LLP     Inv -25-26/KTZ/16410 Dt.21-Jan-26</t>
        </r>
      </text>
    </comment>
    <comment ref="K27" authorId="0" shapeId="0" xr:uid="{FBFECF35-C068-4AFB-AA41-B5D16A8C6BF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KM Global Links                     Inv-00659  Dt.6-Jan-26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7302F232-F035-4165-A50B-2D35731A5A5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  <comment ref="I11" authorId="0" shapeId="0" xr:uid="{BA467FE3-DE81-4762-A300-0D508EA6957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KM Global Links               Inv-KML/25-26/00121 Dt-3-feb-26</t>
        </r>
      </text>
    </comment>
    <comment ref="P21" authorId="0" shapeId="0" xr:uid="{F644D82F-96B6-4F94-9A74-B3C07189248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MY Choice IT Hub           </t>
        </r>
      </text>
    </comment>
    <comment ref="Z21" authorId="0" shapeId="0" xr:uid="{876A21F1-ACC3-4A19-83AE-6C56E2CE76F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MY Choice IT Hub                    Inv-  Dt.21-Feb-26         </t>
        </r>
      </text>
    </comment>
    <comment ref="AE21" authorId="0" shapeId="0" xr:uid="{8424A97E-DF23-4614-8C92-9856366BF31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MY Choice IT Hub                    Inv-3408 Dt.25-Feb-26         </t>
        </r>
      </text>
    </comment>
    <comment ref="O23" authorId="0" shapeId="0" xr:uid="{A73698DB-436F-4DE7-A9BC-C93BD65F044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Kwality Tech Zone LLP    Inv-16914 Dt.10-2-26</t>
        </r>
      </text>
    </comment>
    <comment ref="W23" authorId="0" shapeId="0" xr:uid="{BB473535-7610-4563-8045-EB19F01363D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Kwality Tech Zone LLP    Inv-17304  Dt.17-2-26</t>
        </r>
      </text>
    </comment>
    <comment ref="AA23" authorId="0" shapeId="0" xr:uid="{A2003ACC-5D2C-4515-A006-A84FFEE80E2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Kwality Tech Zone LLP    Inv-17486  Dt.17-2-26</t>
        </r>
      </text>
    </comment>
    <comment ref="AC23" authorId="0" shapeId="0" xr:uid="{41F2B72D-E9D1-4445-A5D9-907F6FB1DC6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Kwality Tech Zone LLP    Inv-17692  Dt.24-2-26</t>
        </r>
      </text>
    </comment>
    <comment ref="AG23" authorId="0" shapeId="0" xr:uid="{AE2215E2-767E-466A-B9A4-B4BD18BB829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Kwality Tech Zone LLP    Inv-17852  Dt.27-2-26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0092CAF0-CC36-46AF-98E6-FF763C2EA91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  <comment ref="L13" authorId="0" shapeId="0" xr:uid="{A175B7C7-29A3-4149-9AFD-6D8E5965FB47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Mangalam Electronics          Inv-3532 /25-26 Dt.5-Mar-26</t>
        </r>
      </text>
    </comment>
    <comment ref="Q21" authorId="0" shapeId="0" xr:uid="{FA641EA0-6F7A-4B8D-A5F5-491F1C1560A2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My Choice IT Hub              Inv-3538/25-26  Dt.11-Mar-26</t>
        </r>
      </text>
    </comment>
    <comment ref="K23" authorId="0" shapeId="0" xr:uid="{EC353A82-92F4-4174-8A58-169D04EA817F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Kwality Tech Zone LLP     Inv-18105 Dt.5-Mar-26</t>
        </r>
      </text>
    </comment>
    <comment ref="R23" authorId="0" shapeId="0" xr:uid="{55336110-2FF1-4DB2-9EBC-343F5ED99338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KM Global Links               Inv-KML/25-26/00789   Dt-10-mar-26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017ECC22-7AA6-40A3-BC26-DF4C7CC8D83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  <comment ref="T11" authorId="0" shapeId="0" xr:uid="{3522CC0A-1DB3-4AF5-8BAC-FB11110BE4A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KM Global Links
Inv-KML/26-27-00027
 Dt-14-Apr-26</t>
        </r>
      </text>
    </comment>
    <comment ref="T13" authorId="0" shapeId="0" xr:uid="{C517FC18-C8FE-42A3-93BC-CC8270D7D44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KM Global Links
Inv-KML/26-27-00027
 Dt-14-Apr-26</t>
        </r>
      </text>
    </comment>
    <comment ref="W21" authorId="0" shapeId="0" xr:uid="{64ABBCB4-1667-4432-92CD-19116C13626F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My Choice IT Hub              Dt.17-Apr-26</t>
        </r>
      </text>
    </comment>
    <comment ref="H23" authorId="0" shapeId="0" xr:uid="{0362C5E9-096A-4B3A-950C-39B799730CF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Return from Firelight Solution (Belenus)
</t>
        </r>
      </text>
    </comment>
  </commentList>
</comments>
</file>

<file path=xl/sharedStrings.xml><?xml version="1.0" encoding="utf-8"?>
<sst xmlns="http://schemas.openxmlformats.org/spreadsheetml/2006/main" count="494" uniqueCount="129">
  <si>
    <t>FORMS AND FORMATS</t>
  </si>
  <si>
    <r>
      <rPr>
        <b/>
        <sz val="11"/>
        <color theme="1"/>
        <rFont val="Times New Roman"/>
        <family val="1"/>
      </rPr>
      <t>Title</t>
    </r>
    <r>
      <rPr>
        <b/>
        <sz val="12"/>
        <color theme="1"/>
        <rFont val="Times New Roman"/>
        <family val="1"/>
      </rPr>
      <t>:</t>
    </r>
    <r>
      <rPr>
        <sz val="11"/>
        <color theme="1"/>
        <rFont val="Times New Roman"/>
        <family val="1"/>
      </rPr>
      <t xml:space="preserve"> Stock Sheet</t>
    </r>
  </si>
  <si>
    <t>Department</t>
  </si>
  <si>
    <t>STORES</t>
  </si>
  <si>
    <t>Version No.</t>
  </si>
  <si>
    <t>Issued Date</t>
  </si>
  <si>
    <t>DOC. No.</t>
  </si>
  <si>
    <t>FM/STR/001</t>
  </si>
  <si>
    <t>Supersedes</t>
  </si>
  <si>
    <t>NIL</t>
  </si>
  <si>
    <t>Next Review Date</t>
  </si>
  <si>
    <t>Effective date</t>
  </si>
  <si>
    <t>Type of Goods</t>
  </si>
  <si>
    <t>Storage Location</t>
  </si>
  <si>
    <t>Part Number</t>
  </si>
  <si>
    <t>Product Name</t>
  </si>
  <si>
    <t>Rate</t>
  </si>
  <si>
    <t>Unit</t>
  </si>
  <si>
    <t>Minimum Stock</t>
  </si>
  <si>
    <t>Re order level</t>
  </si>
  <si>
    <t>Maximum Stock</t>
  </si>
  <si>
    <t>Functions</t>
  </si>
  <si>
    <t>Prepared By</t>
  </si>
  <si>
    <t>Reviewed By</t>
  </si>
  <si>
    <t>Approved By</t>
  </si>
  <si>
    <t>Name</t>
  </si>
  <si>
    <t>Designation</t>
  </si>
  <si>
    <t>Date</t>
  </si>
  <si>
    <t xml:space="preserve">Sign </t>
  </si>
  <si>
    <t>Teller Technologies Private Limited</t>
  </si>
  <si>
    <t>2nd Floor, No.1 7th Cross, 2nd Block TC Palya Main Road CSB Bank ATM Akshaya Nagar  Ramamurthi Nagar Bangalore-560016</t>
  </si>
  <si>
    <t>PCB -POE - Door Indicator (RGB) 1</t>
  </si>
  <si>
    <t>PCB 3.0 POE - Bed Switch</t>
  </si>
  <si>
    <t>PCB - Master PCB Hub - 8 Port</t>
  </si>
  <si>
    <t>PCB 1.1 POE - Bed Switch</t>
  </si>
  <si>
    <t>PCB 1.1 - Bed Switch  POE 1</t>
  </si>
  <si>
    <t>PCB 3.1 - Toilet Switch  POE 1</t>
  </si>
  <si>
    <t>PCB 3.1 - Door Indicator  POE 1</t>
  </si>
  <si>
    <t>PCB - Hub Master  POE 1</t>
  </si>
  <si>
    <t>PCB SA - 3.1 TS with ESP - POE 1</t>
  </si>
  <si>
    <t>PCB SA - 3.1 TS w/o ESP - POE 1</t>
  </si>
  <si>
    <t>PCB SA - 1.1 BS w/o ESP - POE 1</t>
  </si>
  <si>
    <t>PCB SA - 3.1 DI w/o ESP - POE1</t>
  </si>
  <si>
    <t>PCB SA - 3.1 DI with ESP - POE1</t>
  </si>
  <si>
    <t>PCB SA - Hub Master w/o ESP - POE 1</t>
  </si>
  <si>
    <t xml:space="preserve">PCB SA - Master PCB 8 Port </t>
  </si>
  <si>
    <t>PCB SA - 1.1 BS With ESP - POE</t>
  </si>
  <si>
    <t>PCB - 2M Toilet Switch - Wireless</t>
  </si>
  <si>
    <t>PCB - 2M Toilet Switch - POE 1</t>
  </si>
  <si>
    <t>PCB - Door Indictaor ME - POE 1</t>
  </si>
  <si>
    <t>PCB  - 3.1 Bed Switch POE 1</t>
  </si>
  <si>
    <t>PCB-0010025</t>
  </si>
  <si>
    <t>PCB-0010026</t>
  </si>
  <si>
    <t>PCB-0010027</t>
  </si>
  <si>
    <t>PCB-0010028</t>
  </si>
  <si>
    <t>PCB-0010029</t>
  </si>
  <si>
    <t>PCB-0010030</t>
  </si>
  <si>
    <t>PCB-0010031</t>
  </si>
  <si>
    <t>PCB-0010032</t>
  </si>
  <si>
    <t>PCB-0010033</t>
  </si>
  <si>
    <t>PCB-0010034</t>
  </si>
  <si>
    <t>PCB-0010035</t>
  </si>
  <si>
    <t>PCB-0010036</t>
  </si>
  <si>
    <t>PCB-0010037</t>
  </si>
  <si>
    <t>PCB-0010038</t>
  </si>
  <si>
    <t>PCB-0010039</t>
  </si>
  <si>
    <t>PCB-0010040</t>
  </si>
  <si>
    <t>PCB-0010041</t>
  </si>
  <si>
    <t>PCB-0010042</t>
  </si>
  <si>
    <t>PCB-0010043</t>
  </si>
  <si>
    <t>PCB-0010044</t>
  </si>
  <si>
    <t>A1</t>
  </si>
  <si>
    <t>Nos.</t>
  </si>
  <si>
    <t>MON-0170001</t>
  </si>
  <si>
    <t>Monitor - 19'' Lenovo / Dell</t>
  </si>
  <si>
    <t>MON-0170002</t>
  </si>
  <si>
    <t>Monitor - 19" Samsung</t>
  </si>
  <si>
    <t>MON-0170003</t>
  </si>
  <si>
    <t xml:space="preserve">Monitor - Wall mount </t>
  </si>
  <si>
    <t>MON-0170004</t>
  </si>
  <si>
    <t>Monitor - Wall mount LED / LCD</t>
  </si>
  <si>
    <t>MON-0170005</t>
  </si>
  <si>
    <t>Display - Waveshare 10.1"</t>
  </si>
  <si>
    <t>MON-0230011</t>
  </si>
  <si>
    <t xml:space="preserve">Tablet - Wall mount </t>
  </si>
  <si>
    <t>MON-0170006</t>
  </si>
  <si>
    <t>Wall Mount - Angle Poise (Tablet)</t>
  </si>
  <si>
    <t>MON-0170007</t>
  </si>
  <si>
    <t>Angle Poise Holder Clamp With Counter-weight</t>
  </si>
  <si>
    <t>MON-0170008</t>
  </si>
  <si>
    <t>Monitor - 24" Samsung / Lenovo</t>
  </si>
  <si>
    <t>MON-0170009</t>
  </si>
  <si>
    <t>32'' Smart LED TV - LG</t>
  </si>
  <si>
    <t>Monitor - 20" Acer</t>
  </si>
  <si>
    <t>RTR-0180001</t>
  </si>
  <si>
    <t>Router - D-LINK R-15</t>
  </si>
  <si>
    <t>RTR-0180002</t>
  </si>
  <si>
    <t>Router - Mercusys AC12G / Tenda AC1200</t>
  </si>
  <si>
    <t xml:space="preserve">Router - TP Link </t>
  </si>
  <si>
    <t>PER-0230009</t>
  </si>
  <si>
    <t>Tablet - Lenovo 10"</t>
  </si>
  <si>
    <t>PER-0230010</t>
  </si>
  <si>
    <t>Tablet - Winpy 133T - White</t>
  </si>
  <si>
    <t>RTR-0180003</t>
  </si>
  <si>
    <t>8 Port Desktop Switch - TP-Link / D-Link</t>
  </si>
  <si>
    <t>RTR-0180004</t>
  </si>
  <si>
    <t>16 Port Desktop Switch - TP-Link / D-Link</t>
  </si>
  <si>
    <t>RTR-0180005</t>
  </si>
  <si>
    <t>8 Port Gigabit Desktop PoE+ Switch - TP-Link / D-Link</t>
  </si>
  <si>
    <t>Wireless Dongle - TP Link</t>
  </si>
  <si>
    <t>PER-0230012</t>
  </si>
  <si>
    <t>AP-502 Thermal Printer (USB+LAN)</t>
  </si>
  <si>
    <t>PER-0230001</t>
  </si>
  <si>
    <t>Server 1 - i3 (CPU) - Lenovo / Dell</t>
  </si>
  <si>
    <t>PER-0230002</t>
  </si>
  <si>
    <t>Server 2 - i5 (CPU) - Lenovo / Dell</t>
  </si>
  <si>
    <t>PER-0230003</t>
  </si>
  <si>
    <t>Mouse - Wired - Logitech / Lenovo / Dell / HP</t>
  </si>
  <si>
    <t>PER-0230004</t>
  </si>
  <si>
    <t>Mouse - Wireless - Logitech / Lenovo / Dell / HP</t>
  </si>
  <si>
    <t>PER-0230005</t>
  </si>
  <si>
    <t>Keyboard - Lenovo / Dell (Wired)</t>
  </si>
  <si>
    <t>PER-0230006</t>
  </si>
  <si>
    <t>Keyboard - Logitech with Dongle (Wireless)</t>
  </si>
  <si>
    <t>B7</t>
  </si>
  <si>
    <t>C6</t>
  </si>
  <si>
    <t>Opening Stock</t>
  </si>
  <si>
    <t>Closing Stock</t>
  </si>
  <si>
    <t>On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</si>
</sst>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rgb="FF0000FF"/>
      <name val="Times New Roman"/>
      <family val="1"/>
    </font>
    <font>
      <b/>
      <sz val="10"/>
      <color rgb="FFFF0000"/>
      <name val="Times New Roman"/>
      <family val="1"/>
    </font>
    <font>
      <sz val="11"/>
      <color rgb="FF000000"/>
      <name val="Calibri"/>
      <family val="2"/>
      <scheme val="minor"/>
    </font>
    <font>
      <b/>
      <sz val="9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/>
    <xf numFmtId="1" fontId="2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/>
    <xf numFmtId="1" fontId="4" fillId="0" borderId="1" xfId="0" applyNumberFormat="1" applyFont="1" applyBorder="1" applyAlignment="1">
      <alignment horizontal="center" wrapText="1"/>
    </xf>
    <xf numFmtId="0" fontId="7" fillId="2" borderId="4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4" fontId="8" fillId="0" borderId="3" xfId="0" applyNumberFormat="1" applyFont="1" applyBorder="1" applyAlignment="1">
      <alignment horizontal="center" vertical="center" wrapText="1"/>
    </xf>
    <xf numFmtId="0" fontId="0" fillId="0" borderId="1" xfId="0" applyBorder="1"/>
    <xf numFmtId="0" fontId="14" fillId="0" borderId="1" xfId="0" applyFont="1" applyBorder="1" applyAlignment="1">
      <alignment horizontal="center"/>
    </xf>
    <xf numFmtId="1" fontId="15" fillId="0" borderId="1" xfId="0" applyNumberFormat="1" applyFont="1" applyBorder="1" applyAlignment="1">
      <alignment horizontal="center" wrapText="1"/>
    </xf>
    <xf numFmtId="14" fontId="3" fillId="0" borderId="1" xfId="0" applyNumberFormat="1" applyFont="1" applyBorder="1"/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7" fillId="2" borderId="5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16" fillId="0" borderId="1" xfId="0" applyFont="1" applyBorder="1" applyAlignment="1">
      <alignment vertical="top"/>
    </xf>
    <xf numFmtId="0" fontId="8" fillId="2" borderId="15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1" fontId="4" fillId="0" borderId="13" xfId="0" applyNumberFormat="1" applyFont="1" applyBorder="1" applyAlignment="1">
      <alignment horizontal="center" wrapText="1"/>
    </xf>
    <xf numFmtId="0" fontId="7" fillId="2" borderId="20" xfId="0" applyFont="1" applyFill="1" applyBorder="1" applyAlignment="1">
      <alignment vertical="center"/>
    </xf>
    <xf numFmtId="0" fontId="7" fillId="2" borderId="21" xfId="0" applyFont="1" applyFill="1" applyBorder="1" applyAlignment="1">
      <alignment vertical="center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16" fillId="0" borderId="0" xfId="0" applyFont="1" applyAlignment="1">
      <alignment vertical="top"/>
    </xf>
    <xf numFmtId="0" fontId="16" fillId="0" borderId="13" xfId="0" applyFont="1" applyBorder="1" applyAlignment="1">
      <alignment vertical="top"/>
    </xf>
    <xf numFmtId="0" fontId="8" fillId="0" borderId="1" xfId="0" applyFont="1" applyBorder="1" applyAlignment="1">
      <alignment horizontal="center"/>
    </xf>
    <xf numFmtId="14" fontId="17" fillId="0" borderId="1" xfId="0" applyNumberFormat="1" applyFont="1" applyBorder="1"/>
    <xf numFmtId="0" fontId="18" fillId="0" borderId="1" xfId="0" applyFont="1" applyBorder="1" applyAlignment="1">
      <alignment horizontal="center"/>
    </xf>
    <xf numFmtId="1" fontId="15" fillId="3" borderId="13" xfId="0" applyNumberFormat="1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" fontId="18" fillId="0" borderId="1" xfId="0" applyNumberFormat="1" applyFont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4" fontId="8" fillId="0" borderId="19" xfId="0" applyNumberFormat="1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0" fontId="7" fillId="2" borderId="5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16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15"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0000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Q48"/>
  <sheetViews>
    <sheetView zoomScaleNormal="100" workbookViewId="0">
      <pane xSplit="4" ySplit="10" topLeftCell="AI11" activePane="bottomRight" state="frozen"/>
      <selection pane="topRight" activeCell="E1" sqref="E1"/>
      <selection pane="bottomLeft" activeCell="A11" sqref="A11"/>
      <selection pane="bottomRight" activeCell="AN21" sqref="AN21"/>
    </sheetView>
  </sheetViews>
  <sheetFormatPr defaultColWidth="16.85546875" defaultRowHeight="12.75" customHeight="1" x14ac:dyDescent="0.2"/>
  <cols>
    <col min="1" max="1" width="8.85546875" style="1" customWidth="1"/>
    <col min="2" max="2" width="16.85546875" style="2"/>
    <col min="3" max="3" width="54.28515625" style="2" bestFit="1" customWidth="1"/>
    <col min="4" max="4" width="5.5703125" style="2" customWidth="1"/>
    <col min="5" max="5" width="7" style="1" customWidth="1"/>
    <col min="6" max="6" width="9.140625" style="1" customWidth="1"/>
    <col min="7" max="7" width="8.85546875" style="1" customWidth="1"/>
    <col min="8" max="8" width="9" style="1" bestFit="1" customWidth="1"/>
    <col min="9" max="9" width="9" style="1" customWidth="1"/>
    <col min="10" max="10" width="9.42578125" style="1" customWidth="1"/>
    <col min="11" max="13" width="9.140625" style="1" customWidth="1"/>
    <col min="14" max="14" width="9.28515625" style="1" customWidth="1"/>
    <col min="15" max="15" width="9.140625" style="1" customWidth="1"/>
    <col min="16" max="16" width="9.85546875" style="1" customWidth="1"/>
    <col min="17" max="18" width="9.42578125" style="1" customWidth="1"/>
    <col min="19" max="19" width="9" style="1" bestFit="1" customWidth="1"/>
    <col min="20" max="20" width="9.5703125" style="1" customWidth="1"/>
    <col min="21" max="21" width="9.85546875" style="1" customWidth="1"/>
    <col min="22" max="22" width="10" style="1" customWidth="1"/>
    <col min="23" max="23" width="9.28515625" style="1" customWidth="1"/>
    <col min="24" max="29" width="9" style="1" bestFit="1" customWidth="1"/>
    <col min="30" max="30" width="9" style="1" customWidth="1"/>
    <col min="31" max="31" width="9.7109375" style="1" customWidth="1"/>
    <col min="32" max="32" width="10.5703125" style="1" customWidth="1"/>
    <col min="33" max="33" width="9" style="1" bestFit="1" customWidth="1"/>
    <col min="34" max="34" width="10.140625" style="1" customWidth="1"/>
    <col min="35" max="36" width="9" style="1" bestFit="1" customWidth="1"/>
    <col min="37" max="37" width="8.85546875" style="1" customWidth="1"/>
    <col min="38" max="16384" width="16.85546875" style="1"/>
  </cols>
  <sheetData>
    <row r="1" spans="1:43" customFormat="1" ht="23.45" customHeight="1" x14ac:dyDescent="0.25">
      <c r="E1" s="64" t="s">
        <v>29</v>
      </c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</row>
    <row r="2" spans="1:43" customFormat="1" ht="15" x14ac:dyDescent="0.25">
      <c r="E2" s="65" t="s">
        <v>30</v>
      </c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7"/>
    </row>
    <row r="3" spans="1:43" customFormat="1" ht="15.75" x14ac:dyDescent="0.25">
      <c r="E3" s="68" t="s">
        <v>0</v>
      </c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</row>
    <row r="4" spans="1:43" customFormat="1" ht="15" x14ac:dyDescent="0.25">
      <c r="E4" s="69" t="s">
        <v>1</v>
      </c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</row>
    <row r="5" spans="1:43" customFormat="1" ht="15.75" x14ac:dyDescent="0.25">
      <c r="E5" s="59" t="s">
        <v>2</v>
      </c>
      <c r="F5" s="59"/>
      <c r="G5" s="59"/>
      <c r="H5" s="70" t="s">
        <v>3</v>
      </c>
      <c r="I5" s="71"/>
      <c r="J5" s="72"/>
      <c r="K5" s="61" t="s">
        <v>4</v>
      </c>
      <c r="L5" s="61"/>
      <c r="M5" s="13">
        <v>0</v>
      </c>
      <c r="N5" s="73" t="s">
        <v>5</v>
      </c>
      <c r="O5" s="73"/>
      <c r="P5" s="74"/>
      <c r="Q5" s="75"/>
    </row>
    <row r="6" spans="1:43" customFormat="1" ht="15.75" x14ac:dyDescent="0.25">
      <c r="E6" s="59" t="s">
        <v>6</v>
      </c>
      <c r="F6" s="59"/>
      <c r="G6" s="59"/>
      <c r="H6" s="60" t="s">
        <v>7</v>
      </c>
      <c r="I6" s="60"/>
      <c r="J6" s="60"/>
      <c r="K6" s="61" t="s">
        <v>8</v>
      </c>
      <c r="L6" s="61"/>
      <c r="M6" s="62" t="s">
        <v>9</v>
      </c>
      <c r="N6" s="62"/>
      <c r="O6" s="62"/>
      <c r="P6" s="62"/>
      <c r="Q6" s="62"/>
    </row>
    <row r="7" spans="1:43" customFormat="1" ht="15.75" x14ac:dyDescent="0.25">
      <c r="E7" s="61" t="s">
        <v>10</v>
      </c>
      <c r="F7" s="61"/>
      <c r="G7" s="61"/>
      <c r="H7" s="63"/>
      <c r="I7" s="63"/>
      <c r="J7" s="63"/>
      <c r="K7" s="61" t="s">
        <v>11</v>
      </c>
      <c r="L7" s="61"/>
      <c r="M7" s="62"/>
      <c r="N7" s="62"/>
      <c r="O7" s="62"/>
      <c r="P7" s="62"/>
      <c r="Q7" s="62"/>
    </row>
    <row r="8" spans="1:43" customFormat="1" ht="15" x14ac:dyDescent="0.25"/>
    <row r="9" spans="1:43" customFormat="1" ht="15" x14ac:dyDescent="0.25">
      <c r="A9" t="s">
        <v>12</v>
      </c>
    </row>
    <row r="10" spans="1:43" customFormat="1" ht="26.25" x14ac:dyDescent="0.25">
      <c r="A10" s="26" t="s">
        <v>13</v>
      </c>
      <c r="B10" s="6" t="s">
        <v>14</v>
      </c>
      <c r="C10" s="6" t="s">
        <v>15</v>
      </c>
      <c r="D10" s="6" t="s">
        <v>16</v>
      </c>
      <c r="E10" s="7" t="s">
        <v>17</v>
      </c>
      <c r="F10" s="15" t="s">
        <v>126</v>
      </c>
      <c r="G10" s="35">
        <v>46023</v>
      </c>
      <c r="H10" s="35">
        <v>46024</v>
      </c>
      <c r="I10" s="35">
        <v>46025</v>
      </c>
      <c r="J10" s="35">
        <v>46026</v>
      </c>
      <c r="K10" s="35">
        <v>46027</v>
      </c>
      <c r="L10" s="35">
        <v>46028</v>
      </c>
      <c r="M10" s="35">
        <v>46029</v>
      </c>
      <c r="N10" s="35">
        <v>46030</v>
      </c>
      <c r="O10" s="35">
        <v>46031</v>
      </c>
      <c r="P10" s="35">
        <v>46032</v>
      </c>
      <c r="Q10" s="35">
        <v>46033</v>
      </c>
      <c r="R10" s="35">
        <v>46034</v>
      </c>
      <c r="S10" s="35">
        <v>46035</v>
      </c>
      <c r="T10" s="35">
        <v>46036</v>
      </c>
      <c r="U10" s="35">
        <v>46037</v>
      </c>
      <c r="V10" s="35">
        <v>46038</v>
      </c>
      <c r="W10" s="35">
        <v>46039</v>
      </c>
      <c r="X10" s="35">
        <v>46040</v>
      </c>
      <c r="Y10" s="35">
        <v>46041</v>
      </c>
      <c r="Z10" s="35">
        <v>46042</v>
      </c>
      <c r="AA10" s="35">
        <v>46043</v>
      </c>
      <c r="AB10" s="35">
        <v>46044</v>
      </c>
      <c r="AC10" s="35">
        <v>46045</v>
      </c>
      <c r="AD10" s="35">
        <v>46046</v>
      </c>
      <c r="AE10" s="35">
        <v>46047</v>
      </c>
      <c r="AF10" s="35">
        <v>46048</v>
      </c>
      <c r="AG10" s="35">
        <v>46049</v>
      </c>
      <c r="AH10" s="35">
        <v>46050</v>
      </c>
      <c r="AI10" s="35">
        <v>46051</v>
      </c>
      <c r="AJ10" s="35">
        <v>46052</v>
      </c>
      <c r="AK10" s="35">
        <v>46053</v>
      </c>
      <c r="AL10" s="15" t="s">
        <v>127</v>
      </c>
      <c r="AM10" s="5" t="s">
        <v>18</v>
      </c>
      <c r="AN10" s="5" t="s">
        <v>19</v>
      </c>
      <c r="AO10" s="5" t="s">
        <v>20</v>
      </c>
      <c r="AP10" s="17"/>
      <c r="AQ10" s="18"/>
    </row>
    <row r="11" spans="1:43" customFormat="1" ht="15" x14ac:dyDescent="0.25">
      <c r="A11" s="13"/>
      <c r="B11" s="33" t="s">
        <v>73</v>
      </c>
      <c r="C11" s="22" t="s">
        <v>74</v>
      </c>
      <c r="D11" s="13"/>
      <c r="E11" s="3"/>
      <c r="F11" s="36">
        <v>0</v>
      </c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14">
        <v>2</v>
      </c>
      <c r="X11" s="31"/>
      <c r="Y11" s="31">
        <v>-2</v>
      </c>
      <c r="Z11" s="31"/>
      <c r="AA11" s="31"/>
      <c r="AB11" s="14">
        <v>3</v>
      </c>
      <c r="AC11" s="31"/>
      <c r="AD11" s="31"/>
      <c r="AE11" s="31"/>
      <c r="AF11" s="31"/>
      <c r="AG11" s="31"/>
      <c r="AH11" s="31"/>
      <c r="AI11" s="31">
        <v>-3</v>
      </c>
      <c r="AJ11" s="31"/>
      <c r="AK11" s="31"/>
      <c r="AL11" s="37">
        <f>SUM(G11:AK11)+F11</f>
        <v>0</v>
      </c>
    </row>
    <row r="12" spans="1:43" customFormat="1" ht="15" x14ac:dyDescent="0.25">
      <c r="A12" s="13"/>
      <c r="B12" s="33" t="s">
        <v>75</v>
      </c>
      <c r="C12" s="22" t="s">
        <v>76</v>
      </c>
      <c r="D12" s="13"/>
      <c r="E12" s="3"/>
      <c r="F12" s="36">
        <v>0</v>
      </c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7">
        <f t="shared" ref="AL12:AL39" si="0">SUM(G12:AK12)+F12</f>
        <v>0</v>
      </c>
    </row>
    <row r="13" spans="1:43" customFormat="1" ht="15" x14ac:dyDescent="0.25">
      <c r="A13" s="13" t="s">
        <v>124</v>
      </c>
      <c r="B13" s="33" t="s">
        <v>77</v>
      </c>
      <c r="C13" s="22" t="s">
        <v>78</v>
      </c>
      <c r="D13" s="13"/>
      <c r="E13" s="3"/>
      <c r="F13" s="36">
        <f>33-7</f>
        <v>26</v>
      </c>
      <c r="G13" s="31"/>
      <c r="H13" s="31">
        <f>-1+-4</f>
        <v>-5</v>
      </c>
      <c r="I13" s="31"/>
      <c r="J13" s="31"/>
      <c r="K13" s="14">
        <v>1</v>
      </c>
      <c r="L13" s="31">
        <v>-2</v>
      </c>
      <c r="M13" s="31"/>
      <c r="N13" s="31">
        <v>-1</v>
      </c>
      <c r="O13" s="31">
        <v>-1</v>
      </c>
      <c r="P13" s="31"/>
      <c r="Q13" s="31"/>
      <c r="R13" s="31"/>
      <c r="S13" s="31"/>
      <c r="T13" s="31">
        <v>-2</v>
      </c>
      <c r="U13" s="31"/>
      <c r="V13" s="31"/>
      <c r="W13" s="31">
        <f>-13+-2</f>
        <v>-15</v>
      </c>
      <c r="X13" s="31"/>
      <c r="Y13" s="31"/>
      <c r="Z13" s="14">
        <v>35</v>
      </c>
      <c r="AA13" s="31">
        <v>-5</v>
      </c>
      <c r="AB13" s="31"/>
      <c r="AC13" s="31">
        <v>-1</v>
      </c>
      <c r="AD13" s="31"/>
      <c r="AE13" s="31"/>
      <c r="AF13" s="31"/>
      <c r="AG13" s="31"/>
      <c r="AH13" s="31">
        <v>-1</v>
      </c>
      <c r="AI13" s="31">
        <v>-1</v>
      </c>
      <c r="AJ13" s="31"/>
      <c r="AK13" s="31">
        <v>-2</v>
      </c>
      <c r="AL13" s="37">
        <f t="shared" si="0"/>
        <v>26</v>
      </c>
    </row>
    <row r="14" spans="1:43" customFormat="1" ht="15" x14ac:dyDescent="0.25">
      <c r="A14" s="13"/>
      <c r="B14" s="33" t="s">
        <v>79</v>
      </c>
      <c r="C14" s="22" t="s">
        <v>80</v>
      </c>
      <c r="D14" s="13"/>
      <c r="E14" s="3"/>
      <c r="F14" s="36">
        <v>0</v>
      </c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7">
        <f t="shared" si="0"/>
        <v>0</v>
      </c>
    </row>
    <row r="15" spans="1:43" customFormat="1" ht="15" hidden="1" x14ac:dyDescent="0.25">
      <c r="A15" s="13"/>
      <c r="B15" s="33" t="s">
        <v>81</v>
      </c>
      <c r="C15" s="22" t="s">
        <v>82</v>
      </c>
      <c r="D15" s="13"/>
      <c r="E15" s="3"/>
      <c r="F15" s="36">
        <v>0</v>
      </c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7">
        <f t="shared" si="0"/>
        <v>0</v>
      </c>
    </row>
    <row r="16" spans="1:43" customFormat="1" ht="15" hidden="1" x14ac:dyDescent="0.25">
      <c r="A16" s="13" t="s">
        <v>124</v>
      </c>
      <c r="B16" s="33" t="s">
        <v>83</v>
      </c>
      <c r="C16" s="22" t="s">
        <v>84</v>
      </c>
      <c r="D16" s="13"/>
      <c r="E16" s="3"/>
      <c r="F16" s="36">
        <v>34</v>
      </c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7">
        <f t="shared" si="0"/>
        <v>34</v>
      </c>
    </row>
    <row r="17" spans="1:38" customFormat="1" ht="15" hidden="1" x14ac:dyDescent="0.25">
      <c r="A17" s="13"/>
      <c r="B17" s="33" t="s">
        <v>85</v>
      </c>
      <c r="C17" s="22" t="s">
        <v>86</v>
      </c>
      <c r="D17" s="13"/>
      <c r="E17" s="3"/>
      <c r="F17" s="36">
        <v>0</v>
      </c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7">
        <f t="shared" si="0"/>
        <v>0</v>
      </c>
    </row>
    <row r="18" spans="1:38" customFormat="1" ht="14.25" hidden="1" customHeight="1" x14ac:dyDescent="0.25">
      <c r="A18" s="13"/>
      <c r="B18" s="33" t="s">
        <v>87</v>
      </c>
      <c r="C18" s="22" t="s">
        <v>88</v>
      </c>
      <c r="D18" s="13"/>
      <c r="E18" s="3"/>
      <c r="F18" s="36">
        <v>0</v>
      </c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7">
        <f t="shared" si="0"/>
        <v>0</v>
      </c>
    </row>
    <row r="19" spans="1:38" customFormat="1" ht="15" x14ac:dyDescent="0.25">
      <c r="A19" s="13"/>
      <c r="B19" s="33" t="s">
        <v>89</v>
      </c>
      <c r="C19" s="22" t="s">
        <v>90</v>
      </c>
      <c r="D19" s="13"/>
      <c r="E19" s="3"/>
      <c r="F19" s="36">
        <v>0</v>
      </c>
      <c r="G19" s="31"/>
      <c r="H19" s="31"/>
      <c r="I19" s="31"/>
      <c r="J19" s="31"/>
      <c r="K19" s="14">
        <v>3</v>
      </c>
      <c r="L19" s="31"/>
      <c r="M19" s="31"/>
      <c r="N19" s="31">
        <v>-3</v>
      </c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7">
        <f t="shared" si="0"/>
        <v>0</v>
      </c>
    </row>
    <row r="20" spans="1:38" customFormat="1" ht="15" hidden="1" x14ac:dyDescent="0.25">
      <c r="A20" s="13"/>
      <c r="B20" s="33" t="s">
        <v>91</v>
      </c>
      <c r="C20" s="22" t="s">
        <v>92</v>
      </c>
      <c r="D20" s="13"/>
      <c r="E20" s="3"/>
      <c r="F20" s="36">
        <v>0</v>
      </c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14"/>
      <c r="AI20" s="31"/>
      <c r="AJ20" s="31"/>
      <c r="AK20" s="31"/>
      <c r="AL20" s="37">
        <f t="shared" si="0"/>
        <v>0</v>
      </c>
    </row>
    <row r="21" spans="1:38" customFormat="1" ht="15" x14ac:dyDescent="0.25">
      <c r="A21" s="13" t="s">
        <v>124</v>
      </c>
      <c r="B21" s="33" t="s">
        <v>91</v>
      </c>
      <c r="C21" s="22" t="s">
        <v>93</v>
      </c>
      <c r="D21" s="13"/>
      <c r="E21" s="3"/>
      <c r="F21" s="36">
        <v>0</v>
      </c>
      <c r="G21" s="31"/>
      <c r="H21" s="31"/>
      <c r="I21" s="14">
        <v>5</v>
      </c>
      <c r="J21" s="31"/>
      <c r="K21" s="31"/>
      <c r="L21" s="31"/>
      <c r="M21" s="31">
        <v>-5</v>
      </c>
      <c r="N21" s="31"/>
      <c r="O21" s="31"/>
      <c r="P21" s="31"/>
      <c r="Q21" s="31"/>
      <c r="R21" s="31"/>
      <c r="S21" s="31"/>
      <c r="T21" s="38"/>
      <c r="U21" s="31"/>
      <c r="V21" s="14">
        <v>4</v>
      </c>
      <c r="W21" s="31">
        <v>-4</v>
      </c>
      <c r="X21" s="14">
        <v>12</v>
      </c>
      <c r="Y21" s="31">
        <v>-12</v>
      </c>
      <c r="Z21" s="1"/>
      <c r="AA21" s="31"/>
      <c r="AB21" s="31"/>
      <c r="AC21" s="14">
        <v>1</v>
      </c>
      <c r="AD21" s="31"/>
      <c r="AE21" s="31"/>
      <c r="AF21" s="31"/>
      <c r="AG21" s="31"/>
      <c r="AH21" s="14"/>
      <c r="AI21" s="31"/>
      <c r="AJ21" s="31"/>
      <c r="AK21" s="31"/>
      <c r="AL21" s="37">
        <f t="shared" si="0"/>
        <v>1</v>
      </c>
    </row>
    <row r="22" spans="1:38" customFormat="1" ht="15" hidden="1" x14ac:dyDescent="0.25">
      <c r="A22" s="13" t="s">
        <v>125</v>
      </c>
      <c r="B22" s="33" t="s">
        <v>94</v>
      </c>
      <c r="C22" s="22" t="s">
        <v>95</v>
      </c>
      <c r="D22" s="13"/>
      <c r="E22" s="3"/>
      <c r="F22" s="36">
        <v>4</v>
      </c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14"/>
      <c r="AI22" s="31"/>
      <c r="AJ22" s="31"/>
      <c r="AK22" s="31"/>
      <c r="AL22" s="37">
        <f t="shared" si="0"/>
        <v>4</v>
      </c>
    </row>
    <row r="23" spans="1:38" customFormat="1" ht="15" hidden="1" x14ac:dyDescent="0.25">
      <c r="A23" s="13" t="s">
        <v>125</v>
      </c>
      <c r="B23" s="33" t="s">
        <v>96</v>
      </c>
      <c r="C23" s="22" t="s">
        <v>97</v>
      </c>
      <c r="D23" s="13"/>
      <c r="E23" s="3"/>
      <c r="F23" s="36">
        <v>2</v>
      </c>
      <c r="G23" s="31"/>
      <c r="H23" s="31"/>
      <c r="I23" s="31"/>
      <c r="J23" s="31"/>
      <c r="K23" s="14">
        <v>1</v>
      </c>
      <c r="L23" s="31">
        <f>-6+-6</f>
        <v>-12</v>
      </c>
      <c r="M23" s="14">
        <v>12</v>
      </c>
      <c r="N23" s="14">
        <v>1</v>
      </c>
      <c r="O23" s="14">
        <v>5</v>
      </c>
      <c r="P23" s="31">
        <f>-5+-1+-1</f>
        <v>-7</v>
      </c>
      <c r="Q23" s="31"/>
      <c r="R23" s="31">
        <v>-1</v>
      </c>
      <c r="S23" s="31"/>
      <c r="T23" s="14">
        <v>10</v>
      </c>
      <c r="U23" s="31"/>
      <c r="V23" s="31"/>
      <c r="W23" s="14">
        <v>4</v>
      </c>
      <c r="X23" s="31">
        <f>-4+-5</f>
        <v>-9</v>
      </c>
      <c r="Y23" s="31">
        <v>-4</v>
      </c>
      <c r="Z23" s="31"/>
      <c r="AA23" s="14">
        <v>10</v>
      </c>
      <c r="AB23" s="31">
        <v>-4</v>
      </c>
      <c r="AC23" s="31">
        <v>-2</v>
      </c>
      <c r="AD23" s="31"/>
      <c r="AE23" s="31"/>
      <c r="AF23" s="31"/>
      <c r="AG23" s="31"/>
      <c r="AH23" s="31">
        <f>-1+-5</f>
        <v>-6</v>
      </c>
      <c r="AI23" s="14">
        <v>10</v>
      </c>
      <c r="AJ23" s="31">
        <v>-4</v>
      </c>
      <c r="AK23" s="31"/>
      <c r="AL23" s="37">
        <f t="shared" si="0"/>
        <v>6</v>
      </c>
    </row>
    <row r="24" spans="1:38" customFormat="1" ht="15" hidden="1" x14ac:dyDescent="0.25">
      <c r="A24" s="13" t="s">
        <v>125</v>
      </c>
      <c r="C24" s="22" t="s">
        <v>98</v>
      </c>
      <c r="D24" s="13"/>
      <c r="E24" s="3"/>
      <c r="F24" s="36">
        <v>2</v>
      </c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7">
        <f t="shared" si="0"/>
        <v>2</v>
      </c>
    </row>
    <row r="25" spans="1:38" customFormat="1" ht="15" hidden="1" x14ac:dyDescent="0.25">
      <c r="A25" s="13"/>
      <c r="B25" s="33" t="s">
        <v>99</v>
      </c>
      <c r="C25" s="22" t="s">
        <v>100</v>
      </c>
      <c r="D25" s="13"/>
      <c r="E25" s="13"/>
      <c r="F25" s="36">
        <v>0</v>
      </c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7">
        <f t="shared" si="0"/>
        <v>0</v>
      </c>
    </row>
    <row r="26" spans="1:38" customFormat="1" ht="15" hidden="1" x14ac:dyDescent="0.25">
      <c r="A26" s="13"/>
      <c r="B26" s="33" t="s">
        <v>101</v>
      </c>
      <c r="C26" s="22" t="s">
        <v>102</v>
      </c>
      <c r="D26" s="13"/>
      <c r="E26" s="13"/>
      <c r="F26" s="36">
        <v>0</v>
      </c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7">
        <f t="shared" si="0"/>
        <v>0</v>
      </c>
    </row>
    <row r="27" spans="1:38" customFormat="1" ht="15" hidden="1" x14ac:dyDescent="0.25">
      <c r="A27" s="13"/>
      <c r="B27" s="33" t="s">
        <v>103</v>
      </c>
      <c r="C27" s="22" t="s">
        <v>104</v>
      </c>
      <c r="D27" s="13"/>
      <c r="E27" s="13"/>
      <c r="F27" s="36">
        <v>0</v>
      </c>
      <c r="G27" s="31"/>
      <c r="H27" s="31"/>
      <c r="I27" s="31"/>
      <c r="J27" s="31"/>
      <c r="K27" s="14">
        <v>2</v>
      </c>
      <c r="L27" s="31"/>
      <c r="M27" s="31"/>
      <c r="N27" s="31">
        <v>-2</v>
      </c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7">
        <f t="shared" si="0"/>
        <v>0</v>
      </c>
    </row>
    <row r="28" spans="1:38" customFormat="1" ht="15" hidden="1" x14ac:dyDescent="0.25">
      <c r="A28" s="13"/>
      <c r="B28" s="33" t="s">
        <v>105</v>
      </c>
      <c r="C28" s="22" t="s">
        <v>106</v>
      </c>
      <c r="D28" s="13"/>
      <c r="E28" s="13"/>
      <c r="F28" s="36">
        <v>0</v>
      </c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7">
        <f t="shared" si="0"/>
        <v>0</v>
      </c>
    </row>
    <row r="29" spans="1:38" customFormat="1" ht="15" hidden="1" x14ac:dyDescent="0.25">
      <c r="A29" s="13"/>
      <c r="B29" s="33" t="s">
        <v>107</v>
      </c>
      <c r="C29" s="22" t="s">
        <v>108</v>
      </c>
      <c r="D29" s="13"/>
      <c r="E29" s="13"/>
      <c r="F29" s="36">
        <v>0</v>
      </c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7">
        <f t="shared" si="0"/>
        <v>0</v>
      </c>
    </row>
    <row r="30" spans="1:38" customFormat="1" ht="15.75" hidden="1" x14ac:dyDescent="0.25">
      <c r="A30" s="34"/>
      <c r="B30" s="32"/>
      <c r="C30" s="22" t="s">
        <v>109</v>
      </c>
      <c r="D30" s="13"/>
      <c r="E30" s="13"/>
      <c r="F30" s="36">
        <v>0</v>
      </c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7">
        <f t="shared" si="0"/>
        <v>0</v>
      </c>
    </row>
    <row r="31" spans="1:38" customFormat="1" ht="15" hidden="1" x14ac:dyDescent="0.25">
      <c r="A31" s="13"/>
      <c r="B31" s="33" t="s">
        <v>110</v>
      </c>
      <c r="C31" s="22" t="s">
        <v>111</v>
      </c>
      <c r="D31" s="13"/>
      <c r="E31" s="13"/>
      <c r="F31" s="36">
        <v>0</v>
      </c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7">
        <f t="shared" si="0"/>
        <v>0</v>
      </c>
    </row>
    <row r="32" spans="1:38" customFormat="1" ht="15" hidden="1" x14ac:dyDescent="0.25">
      <c r="A32" s="13"/>
      <c r="B32" s="22" t="s">
        <v>112</v>
      </c>
      <c r="C32" s="22" t="s">
        <v>113</v>
      </c>
      <c r="D32" s="13"/>
      <c r="E32" s="13"/>
      <c r="F32" s="36">
        <v>0</v>
      </c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7">
        <f t="shared" si="0"/>
        <v>0</v>
      </c>
    </row>
    <row r="33" spans="1:38" customFormat="1" ht="15" hidden="1" x14ac:dyDescent="0.25">
      <c r="A33" s="13"/>
      <c r="B33" s="22" t="s">
        <v>114</v>
      </c>
      <c r="C33" s="22" t="s">
        <v>115</v>
      </c>
      <c r="D33" s="13"/>
      <c r="E33" s="13"/>
      <c r="F33" s="36">
        <v>0</v>
      </c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7">
        <f t="shared" si="0"/>
        <v>0</v>
      </c>
    </row>
    <row r="34" spans="1:38" customFormat="1" ht="15" hidden="1" x14ac:dyDescent="0.25">
      <c r="A34" s="13"/>
      <c r="B34" s="22" t="s">
        <v>116</v>
      </c>
      <c r="C34" s="22" t="s">
        <v>117</v>
      </c>
      <c r="D34" s="13"/>
      <c r="E34" s="13"/>
      <c r="F34" s="36">
        <v>0</v>
      </c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7">
        <f t="shared" si="0"/>
        <v>0</v>
      </c>
    </row>
    <row r="35" spans="1:38" customFormat="1" ht="15" hidden="1" x14ac:dyDescent="0.25">
      <c r="A35" s="13"/>
      <c r="B35" s="22" t="s">
        <v>118</v>
      </c>
      <c r="C35" s="22" t="s">
        <v>119</v>
      </c>
      <c r="D35" s="13"/>
      <c r="E35" s="13"/>
      <c r="F35" s="36">
        <v>0</v>
      </c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7">
        <f t="shared" si="0"/>
        <v>0</v>
      </c>
    </row>
    <row r="36" spans="1:38" customFormat="1" ht="15" hidden="1" x14ac:dyDescent="0.25">
      <c r="A36" s="13"/>
      <c r="B36" s="22" t="s">
        <v>120</v>
      </c>
      <c r="C36" s="22" t="s">
        <v>121</v>
      </c>
      <c r="D36" s="13"/>
      <c r="E36" s="13"/>
      <c r="F36" s="36">
        <v>0</v>
      </c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7">
        <f t="shared" si="0"/>
        <v>0</v>
      </c>
    </row>
    <row r="37" spans="1:38" customFormat="1" ht="15" hidden="1" x14ac:dyDescent="0.25">
      <c r="A37" s="13"/>
      <c r="B37" s="22" t="s">
        <v>122</v>
      </c>
      <c r="C37" s="22" t="s">
        <v>123</v>
      </c>
      <c r="D37" s="13"/>
      <c r="E37" s="13"/>
      <c r="F37" s="36">
        <v>0</v>
      </c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7">
        <f t="shared" si="0"/>
        <v>0</v>
      </c>
    </row>
    <row r="38" spans="1:38" customFormat="1" ht="15" hidden="1" x14ac:dyDescent="0.25">
      <c r="A38" s="13"/>
      <c r="B38" s="13"/>
      <c r="C38" s="13"/>
      <c r="D38" s="13"/>
      <c r="E38" s="13"/>
      <c r="F38" s="36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37">
        <f t="shared" si="0"/>
        <v>0</v>
      </c>
    </row>
    <row r="39" spans="1:38" customFormat="1" ht="15" hidden="1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37">
        <f t="shared" si="0"/>
        <v>0</v>
      </c>
    </row>
    <row r="40" spans="1:38" ht="12.75" customHeight="1" x14ac:dyDescent="0.2">
      <c r="A40" s="3"/>
      <c r="B40" s="30"/>
      <c r="C40" s="30"/>
      <c r="D40" s="30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1:38" x14ac:dyDescent="0.2">
      <c r="A41" s="3"/>
      <c r="B41" s="30"/>
      <c r="C41" s="30"/>
      <c r="D41" s="30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</row>
    <row r="42" spans="1:38" ht="79.5" customHeight="1" thickBot="1" x14ac:dyDescent="0.25">
      <c r="B42" s="9" t="s">
        <v>21</v>
      </c>
      <c r="C42" s="21"/>
      <c r="D42" s="21"/>
      <c r="E42" s="11" t="s">
        <v>22</v>
      </c>
      <c r="F42" s="24" t="s">
        <v>23</v>
      </c>
      <c r="G42" s="28" t="s">
        <v>24</v>
      </c>
      <c r="H42" s="29"/>
    </row>
    <row r="43" spans="1:38" ht="16.5" thickBot="1" x14ac:dyDescent="0.25">
      <c r="B43" s="9" t="s">
        <v>25</v>
      </c>
      <c r="C43" s="21"/>
      <c r="D43" s="21"/>
      <c r="E43" s="10"/>
      <c r="F43" s="23"/>
      <c r="G43" s="40"/>
      <c r="H43" s="41"/>
    </row>
    <row r="44" spans="1:38" ht="16.5" thickBot="1" x14ac:dyDescent="0.25">
      <c r="B44" s="9" t="s">
        <v>26</v>
      </c>
      <c r="C44" s="21"/>
      <c r="D44" s="21"/>
      <c r="E44" s="11"/>
      <c r="F44" s="24"/>
      <c r="G44" s="42"/>
      <c r="H44" s="43"/>
    </row>
    <row r="45" spans="1:38" ht="16.5" thickBot="1" x14ac:dyDescent="0.25">
      <c r="B45" s="9" t="s">
        <v>27</v>
      </c>
      <c r="C45" s="21"/>
      <c r="D45" s="21"/>
      <c r="E45" s="12"/>
      <c r="F45" s="25"/>
      <c r="G45" s="44"/>
      <c r="H45" s="45"/>
    </row>
    <row r="46" spans="1:38" ht="15.75" x14ac:dyDescent="0.2">
      <c r="B46" s="46" t="s">
        <v>28</v>
      </c>
      <c r="C46" s="19"/>
      <c r="D46" s="19"/>
      <c r="E46" s="49"/>
      <c r="F46" s="52"/>
      <c r="G46" s="55"/>
      <c r="H46" s="56"/>
    </row>
    <row r="47" spans="1:38" ht="15.75" x14ac:dyDescent="0.2">
      <c r="B47" s="47"/>
      <c r="C47" s="20"/>
      <c r="D47" s="20"/>
      <c r="E47" s="50"/>
      <c r="F47" s="53"/>
      <c r="G47" s="55"/>
      <c r="H47" s="56"/>
    </row>
    <row r="48" spans="1:38" ht="16.5" thickBot="1" x14ac:dyDescent="0.25">
      <c r="B48" s="48"/>
      <c r="C48" s="9"/>
      <c r="D48" s="9"/>
      <c r="E48" s="51"/>
      <c r="F48" s="54"/>
      <c r="G48" s="57"/>
      <c r="H48" s="58"/>
    </row>
  </sheetData>
  <autoFilter ref="A10:AO39" xr:uid="{00000000-0001-0000-0000-000000000000}">
    <filterColumn colId="2">
      <filters>
        <filter val="Monitor - 19'' Lenovo / Dell"/>
        <filter val="Monitor - 19&quot; Samsung"/>
        <filter val="Monitor - 20&quot; Acer"/>
        <filter val="Monitor - 24&quot; Samsung / Lenovo"/>
        <filter val="Monitor - Wall mount"/>
        <filter val="Monitor - Wall mount LED / LCD"/>
      </filters>
    </filterColumn>
  </autoFilter>
  <mergeCells count="24">
    <mergeCell ref="G46:H48"/>
    <mergeCell ref="G43:H43"/>
    <mergeCell ref="G44:H44"/>
    <mergeCell ref="G45:H45"/>
    <mergeCell ref="B46:B48"/>
    <mergeCell ref="E46:E48"/>
    <mergeCell ref="F46:F48"/>
    <mergeCell ref="E1:Q1"/>
    <mergeCell ref="E2:Q2"/>
    <mergeCell ref="E3:Q3"/>
    <mergeCell ref="E4:Q4"/>
    <mergeCell ref="E5:G5"/>
    <mergeCell ref="H5:J5"/>
    <mergeCell ref="K5:L5"/>
    <mergeCell ref="N5:O5"/>
    <mergeCell ref="P5:Q5"/>
    <mergeCell ref="E6:G6"/>
    <mergeCell ref="H6:J6"/>
    <mergeCell ref="K6:L6"/>
    <mergeCell ref="M6:Q6"/>
    <mergeCell ref="E7:G7"/>
    <mergeCell ref="H7:J7"/>
    <mergeCell ref="K7:L7"/>
    <mergeCell ref="M7:Q7"/>
  </mergeCells>
  <conditionalFormatting sqref="AL11:AL39">
    <cfRule type="cellIs" dxfId="14" priority="4" operator="greaterThan">
      <formula>#REF!</formula>
    </cfRule>
    <cfRule type="cellIs" dxfId="13" priority="5" operator="between">
      <formula>11</formula>
      <formula>50</formula>
    </cfRule>
    <cfRule type="cellIs" dxfId="12" priority="6" operator="lessThan">
      <formula>#REF!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9DD10-0AC2-461A-BA2F-54E478B0327A}">
  <dimension ref="A1:AL132"/>
  <sheetViews>
    <sheetView workbookViewId="0">
      <pane xSplit="3" ySplit="10" topLeftCell="V11" activePane="bottomRight" state="frozen"/>
      <selection pane="topRight" activeCell="D1" sqref="D1"/>
      <selection pane="bottomLeft" activeCell="A11" sqref="A11"/>
      <selection pane="bottomRight" activeCell="AE21" sqref="AE21"/>
    </sheetView>
  </sheetViews>
  <sheetFormatPr defaultRowHeight="15" x14ac:dyDescent="0.25"/>
  <cols>
    <col min="2" max="2" width="12.140625" bestFit="1" customWidth="1"/>
    <col min="3" max="3" width="54.28515625" bestFit="1" customWidth="1"/>
    <col min="7" max="33" width="10.140625" bestFit="1" customWidth="1"/>
    <col min="34" max="34" width="10.5703125" customWidth="1"/>
    <col min="35" max="36" width="10.140625" bestFit="1" customWidth="1"/>
  </cols>
  <sheetData>
    <row r="1" spans="1:38" ht="22.5" customHeight="1" x14ac:dyDescent="0.25">
      <c r="E1" s="64" t="s">
        <v>29</v>
      </c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</row>
    <row r="2" spans="1:38" ht="15" customHeight="1" x14ac:dyDescent="0.25">
      <c r="E2" s="65" t="s">
        <v>30</v>
      </c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7"/>
    </row>
    <row r="3" spans="1:38" ht="15.75" customHeight="1" x14ac:dyDescent="0.25">
      <c r="E3" s="68" t="s">
        <v>0</v>
      </c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</row>
    <row r="4" spans="1:38" ht="15" customHeight="1" x14ac:dyDescent="0.25">
      <c r="E4" s="69" t="s">
        <v>1</v>
      </c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</row>
    <row r="5" spans="1:38" ht="15.75" customHeight="1" x14ac:dyDescent="0.25">
      <c r="E5" s="59" t="s">
        <v>2</v>
      </c>
      <c r="F5" s="59"/>
      <c r="G5" s="59"/>
      <c r="H5" s="70" t="s">
        <v>3</v>
      </c>
      <c r="I5" s="71"/>
      <c r="J5" s="72"/>
      <c r="K5" s="61" t="s">
        <v>4</v>
      </c>
      <c r="L5" s="61"/>
      <c r="M5" s="13">
        <v>0</v>
      </c>
      <c r="N5" s="73" t="s">
        <v>5</v>
      </c>
      <c r="O5" s="73"/>
      <c r="P5" s="74"/>
      <c r="Q5" s="75"/>
    </row>
    <row r="6" spans="1:38" ht="15.75" customHeight="1" x14ac:dyDescent="0.25">
      <c r="E6" s="59" t="s">
        <v>6</v>
      </c>
      <c r="F6" s="59"/>
      <c r="G6" s="59"/>
      <c r="H6" s="60" t="s">
        <v>7</v>
      </c>
      <c r="I6" s="60"/>
      <c r="J6" s="60"/>
      <c r="K6" s="61" t="s">
        <v>8</v>
      </c>
      <c r="L6" s="61"/>
      <c r="M6" s="62" t="s">
        <v>9</v>
      </c>
      <c r="N6" s="62"/>
      <c r="O6" s="62"/>
      <c r="P6" s="62"/>
      <c r="Q6" s="62"/>
    </row>
    <row r="7" spans="1:38" ht="15.75" customHeight="1" x14ac:dyDescent="0.25">
      <c r="E7" s="61" t="s">
        <v>10</v>
      </c>
      <c r="F7" s="61"/>
      <c r="G7" s="61"/>
      <c r="H7" s="63"/>
      <c r="I7" s="63"/>
      <c r="J7" s="63"/>
      <c r="K7" s="61" t="s">
        <v>11</v>
      </c>
      <c r="L7" s="61"/>
      <c r="M7" s="62"/>
      <c r="N7" s="62"/>
      <c r="O7" s="62"/>
      <c r="P7" s="62"/>
      <c r="Q7" s="62"/>
    </row>
    <row r="9" spans="1:38" x14ac:dyDescent="0.25">
      <c r="A9" t="s">
        <v>12</v>
      </c>
    </row>
    <row r="10" spans="1:38" ht="26.25" x14ac:dyDescent="0.25">
      <c r="A10" s="26" t="s">
        <v>13</v>
      </c>
      <c r="B10" s="6" t="s">
        <v>14</v>
      </c>
      <c r="C10" s="6" t="s">
        <v>15</v>
      </c>
      <c r="D10" s="6" t="s">
        <v>16</v>
      </c>
      <c r="E10" s="7" t="s">
        <v>17</v>
      </c>
      <c r="F10" s="15" t="s">
        <v>126</v>
      </c>
      <c r="G10" s="16">
        <v>46054</v>
      </c>
      <c r="H10" s="16">
        <v>46055</v>
      </c>
      <c r="I10" s="16">
        <v>46056</v>
      </c>
      <c r="J10" s="16">
        <v>46057</v>
      </c>
      <c r="K10" s="16">
        <v>46058</v>
      </c>
      <c r="L10" s="16">
        <v>46059</v>
      </c>
      <c r="M10" s="16">
        <v>46060</v>
      </c>
      <c r="N10" s="16">
        <v>46061</v>
      </c>
      <c r="O10" s="16">
        <v>46062</v>
      </c>
      <c r="P10" s="16">
        <v>46063</v>
      </c>
      <c r="Q10" s="16">
        <v>46064</v>
      </c>
      <c r="R10" s="16">
        <v>46065</v>
      </c>
      <c r="S10" s="16">
        <v>46066</v>
      </c>
      <c r="T10" s="16">
        <v>46067</v>
      </c>
      <c r="U10" s="16">
        <v>46068</v>
      </c>
      <c r="V10" s="16">
        <v>46069</v>
      </c>
      <c r="W10" s="16">
        <v>46070</v>
      </c>
      <c r="X10" s="16">
        <v>46071</v>
      </c>
      <c r="Y10" s="16">
        <v>46072</v>
      </c>
      <c r="Z10" s="16">
        <v>46073</v>
      </c>
      <c r="AA10" s="16">
        <v>46074</v>
      </c>
      <c r="AB10" s="16">
        <v>46075</v>
      </c>
      <c r="AC10" s="16">
        <v>46076</v>
      </c>
      <c r="AD10" s="16">
        <v>46077</v>
      </c>
      <c r="AE10" s="16">
        <v>46078</v>
      </c>
      <c r="AF10" s="16">
        <v>46079</v>
      </c>
      <c r="AG10" s="16">
        <v>46080</v>
      </c>
      <c r="AH10" s="16">
        <v>46081</v>
      </c>
      <c r="AI10" s="15" t="s">
        <v>127</v>
      </c>
      <c r="AJ10" s="5" t="s">
        <v>18</v>
      </c>
      <c r="AK10" s="5" t="s">
        <v>19</v>
      </c>
      <c r="AL10" s="5" t="s">
        <v>20</v>
      </c>
    </row>
    <row r="11" spans="1:38" x14ac:dyDescent="0.25">
      <c r="A11" s="13"/>
      <c r="B11" s="33" t="s">
        <v>73</v>
      </c>
      <c r="C11" s="22" t="s">
        <v>74</v>
      </c>
      <c r="D11" s="13"/>
      <c r="E11" s="3"/>
      <c r="F11" s="15">
        <f>'Jan 2026'!AL11</f>
        <v>0</v>
      </c>
      <c r="G11" s="31"/>
      <c r="H11" s="31"/>
      <c r="I11" s="14">
        <v>6</v>
      </c>
      <c r="J11" s="31"/>
      <c r="K11" s="31"/>
      <c r="L11" s="31"/>
      <c r="M11" s="31">
        <v>-6</v>
      </c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7">
        <f>F11+SUM(G11:AH11)</f>
        <v>0</v>
      </c>
    </row>
    <row r="12" spans="1:38" x14ac:dyDescent="0.25">
      <c r="A12" s="13"/>
      <c r="B12" s="33" t="s">
        <v>75</v>
      </c>
      <c r="C12" s="22" t="s">
        <v>76</v>
      </c>
      <c r="D12" s="13"/>
      <c r="E12" s="3"/>
      <c r="F12" s="15">
        <f>'Jan 2026'!AL12</f>
        <v>0</v>
      </c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7">
        <f t="shared" ref="AI12:AI37" si="0">F12+SUM(G12:AH12)</f>
        <v>0</v>
      </c>
    </row>
    <row r="13" spans="1:38" x14ac:dyDescent="0.25">
      <c r="A13" s="13" t="s">
        <v>124</v>
      </c>
      <c r="B13" s="33" t="s">
        <v>77</v>
      </c>
      <c r="C13" s="22" t="s">
        <v>78</v>
      </c>
      <c r="D13" s="13"/>
      <c r="E13" s="3"/>
      <c r="F13" s="15">
        <f>'Jan 2026'!AL13</f>
        <v>26</v>
      </c>
      <c r="G13" s="31"/>
      <c r="H13" s="31"/>
      <c r="I13" s="31"/>
      <c r="J13" s="31"/>
      <c r="K13" s="31"/>
      <c r="L13" s="31"/>
      <c r="M13" s="31"/>
      <c r="N13" s="31"/>
      <c r="O13" s="31"/>
      <c r="P13" s="31">
        <v>-2</v>
      </c>
      <c r="Q13" s="31"/>
      <c r="R13" s="31"/>
      <c r="S13" s="31"/>
      <c r="T13" s="31"/>
      <c r="U13" s="31"/>
      <c r="V13" s="31"/>
      <c r="W13" s="31">
        <v>-1</v>
      </c>
      <c r="X13" s="31">
        <f>-1+-4</f>
        <v>-5</v>
      </c>
      <c r="Y13" s="31"/>
      <c r="Z13" s="31"/>
      <c r="AA13" s="31"/>
      <c r="AB13" s="31"/>
      <c r="AC13" s="31"/>
      <c r="AD13" s="31">
        <v>-1</v>
      </c>
      <c r="AE13" s="31"/>
      <c r="AF13" s="31">
        <v>-1</v>
      </c>
      <c r="AG13" s="31">
        <v>-1</v>
      </c>
      <c r="AH13" s="31">
        <v>-4</v>
      </c>
      <c r="AI13" s="37">
        <f t="shared" si="0"/>
        <v>11</v>
      </c>
    </row>
    <row r="14" spans="1:38" x14ac:dyDescent="0.25">
      <c r="A14" s="13"/>
      <c r="B14" s="33" t="s">
        <v>79</v>
      </c>
      <c r="C14" s="22" t="s">
        <v>80</v>
      </c>
      <c r="D14" s="13"/>
      <c r="E14" s="3"/>
      <c r="F14" s="15">
        <f>'Jan 2026'!AL14</f>
        <v>0</v>
      </c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7">
        <f t="shared" si="0"/>
        <v>0</v>
      </c>
    </row>
    <row r="15" spans="1:38" x14ac:dyDescent="0.25">
      <c r="A15" s="13"/>
      <c r="B15" s="33" t="s">
        <v>81</v>
      </c>
      <c r="C15" s="22" t="s">
        <v>82</v>
      </c>
      <c r="D15" s="13"/>
      <c r="E15" s="3"/>
      <c r="F15" s="15">
        <f>'Jan 2026'!AL15</f>
        <v>0</v>
      </c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7">
        <f t="shared" si="0"/>
        <v>0</v>
      </c>
    </row>
    <row r="16" spans="1:38" x14ac:dyDescent="0.25">
      <c r="A16" s="13" t="s">
        <v>124</v>
      </c>
      <c r="B16" s="33" t="s">
        <v>83</v>
      </c>
      <c r="C16" s="22" t="s">
        <v>84</v>
      </c>
      <c r="D16" s="13"/>
      <c r="E16" s="3"/>
      <c r="F16" s="15">
        <f>'Jan 2026'!AL16</f>
        <v>34</v>
      </c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7">
        <f t="shared" si="0"/>
        <v>34</v>
      </c>
    </row>
    <row r="17" spans="1:35" x14ac:dyDescent="0.25">
      <c r="A17" s="13"/>
      <c r="B17" s="33" t="s">
        <v>85</v>
      </c>
      <c r="C17" s="22" t="s">
        <v>86</v>
      </c>
      <c r="D17" s="13"/>
      <c r="E17" s="3"/>
      <c r="F17" s="15">
        <f>'Jan 2026'!AL17</f>
        <v>0</v>
      </c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7">
        <f t="shared" si="0"/>
        <v>0</v>
      </c>
    </row>
    <row r="18" spans="1:35" x14ac:dyDescent="0.25">
      <c r="A18" s="13"/>
      <c r="B18" s="33" t="s">
        <v>87</v>
      </c>
      <c r="C18" s="22" t="s">
        <v>88</v>
      </c>
      <c r="D18" s="13"/>
      <c r="E18" s="3"/>
      <c r="F18" s="15">
        <f>'Jan 2026'!AL18</f>
        <v>0</v>
      </c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7">
        <f t="shared" si="0"/>
        <v>0</v>
      </c>
    </row>
    <row r="19" spans="1:35" x14ac:dyDescent="0.25">
      <c r="A19" s="13"/>
      <c r="B19" s="33" t="s">
        <v>89</v>
      </c>
      <c r="C19" s="22" t="s">
        <v>90</v>
      </c>
      <c r="D19" s="13"/>
      <c r="E19" s="3"/>
      <c r="F19" s="15">
        <f>'Jan 2026'!AL19</f>
        <v>0</v>
      </c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7">
        <f t="shared" si="0"/>
        <v>0</v>
      </c>
    </row>
    <row r="20" spans="1:35" x14ac:dyDescent="0.25">
      <c r="A20" s="13"/>
      <c r="B20" s="33" t="s">
        <v>91</v>
      </c>
      <c r="C20" s="22" t="s">
        <v>92</v>
      </c>
      <c r="D20" s="13"/>
      <c r="E20" s="3"/>
      <c r="F20" s="15">
        <f>'Jan 2026'!AL20</f>
        <v>0</v>
      </c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14"/>
      <c r="AI20" s="37">
        <f t="shared" si="0"/>
        <v>0</v>
      </c>
    </row>
    <row r="21" spans="1:35" x14ac:dyDescent="0.25">
      <c r="A21" s="13" t="s">
        <v>124</v>
      </c>
      <c r="B21" s="33" t="s">
        <v>91</v>
      </c>
      <c r="C21" s="22" t="s">
        <v>93</v>
      </c>
      <c r="D21" s="13"/>
      <c r="E21" s="3"/>
      <c r="F21" s="15">
        <f>'Jan 2026'!AL21</f>
        <v>1</v>
      </c>
      <c r="G21" s="31"/>
      <c r="H21" s="31"/>
      <c r="I21" s="31"/>
      <c r="J21" s="31">
        <v>-1</v>
      </c>
      <c r="K21" s="31"/>
      <c r="L21" s="31"/>
      <c r="M21" s="31"/>
      <c r="N21" s="31"/>
      <c r="O21" s="31"/>
      <c r="P21" s="14">
        <v>7</v>
      </c>
      <c r="Q21" s="31">
        <f>-5+-2</f>
        <v>-7</v>
      </c>
      <c r="R21" s="31"/>
      <c r="S21" s="31"/>
      <c r="T21" s="31"/>
      <c r="U21" s="31"/>
      <c r="V21" s="31"/>
      <c r="W21" s="31"/>
      <c r="X21" s="31"/>
      <c r="Y21" s="31"/>
      <c r="Z21" s="14">
        <v>1</v>
      </c>
      <c r="AA21" s="31">
        <v>-1</v>
      </c>
      <c r="AB21" s="31"/>
      <c r="AC21" s="31"/>
      <c r="AD21" s="31">
        <v>-1</v>
      </c>
      <c r="AE21" s="14">
        <v>10</v>
      </c>
      <c r="AF21" s="31">
        <f>-1+-2+-1</f>
        <v>-4</v>
      </c>
      <c r="AG21" s="31">
        <f>-1</f>
        <v>-1</v>
      </c>
      <c r="AH21" s="31">
        <v>-2</v>
      </c>
      <c r="AI21" s="37">
        <f t="shared" si="0"/>
        <v>2</v>
      </c>
    </row>
    <row r="22" spans="1:35" x14ac:dyDescent="0.25">
      <c r="A22" s="13" t="s">
        <v>125</v>
      </c>
      <c r="B22" s="33" t="s">
        <v>94</v>
      </c>
      <c r="C22" s="22" t="s">
        <v>95</v>
      </c>
      <c r="D22" s="13"/>
      <c r="E22" s="3"/>
      <c r="F22" s="15">
        <f>'Jan 2026'!AL22</f>
        <v>4</v>
      </c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14"/>
      <c r="AI22" s="37">
        <f t="shared" si="0"/>
        <v>4</v>
      </c>
    </row>
    <row r="23" spans="1:35" x14ac:dyDescent="0.25">
      <c r="A23" s="13" t="s">
        <v>125</v>
      </c>
      <c r="B23" s="33" t="s">
        <v>96</v>
      </c>
      <c r="C23" s="22" t="s">
        <v>97</v>
      </c>
      <c r="D23" s="13"/>
      <c r="E23" s="13"/>
      <c r="F23" s="15">
        <f>'Jan 2026'!AL23</f>
        <v>6</v>
      </c>
      <c r="G23" s="31"/>
      <c r="H23" s="31">
        <v>-5</v>
      </c>
      <c r="I23" s="31"/>
      <c r="J23" s="31"/>
      <c r="K23" s="31"/>
      <c r="L23" s="31"/>
      <c r="M23" s="31"/>
      <c r="N23" s="31"/>
      <c r="O23" s="14">
        <v>15</v>
      </c>
      <c r="P23" s="31">
        <v>-4</v>
      </c>
      <c r="Q23" s="31">
        <f>-11</f>
        <v>-11</v>
      </c>
      <c r="R23" s="31"/>
      <c r="S23" s="31"/>
      <c r="T23" s="31"/>
      <c r="U23" s="31"/>
      <c r="V23" s="31"/>
      <c r="W23" s="14">
        <v>10</v>
      </c>
      <c r="X23" s="31">
        <v>-2</v>
      </c>
      <c r="Y23" s="31"/>
      <c r="Z23" s="31">
        <v>-8</v>
      </c>
      <c r="AA23" s="14">
        <v>10</v>
      </c>
      <c r="AB23" s="31">
        <v>-4</v>
      </c>
      <c r="AC23" s="14">
        <v>30</v>
      </c>
      <c r="AD23" s="31">
        <f>-4+-9</f>
        <v>-13</v>
      </c>
      <c r="AE23" s="31">
        <v>-7</v>
      </c>
      <c r="AF23" s="31">
        <f>-3+-7</f>
        <v>-10</v>
      </c>
      <c r="AG23" s="14">
        <v>15</v>
      </c>
      <c r="AH23" s="31">
        <v>-12</v>
      </c>
      <c r="AI23" s="37">
        <f t="shared" si="0"/>
        <v>10</v>
      </c>
    </row>
    <row r="24" spans="1:35" x14ac:dyDescent="0.25">
      <c r="A24" s="13" t="s">
        <v>125</v>
      </c>
      <c r="C24" s="22" t="s">
        <v>98</v>
      </c>
      <c r="D24" s="13"/>
      <c r="E24" s="13"/>
      <c r="F24" s="15">
        <f>'Jan 2026'!AL24</f>
        <v>2</v>
      </c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7">
        <f t="shared" si="0"/>
        <v>2</v>
      </c>
    </row>
    <row r="25" spans="1:35" x14ac:dyDescent="0.25">
      <c r="A25" s="13"/>
      <c r="B25" s="33" t="s">
        <v>99</v>
      </c>
      <c r="C25" s="22" t="s">
        <v>100</v>
      </c>
      <c r="D25" s="13"/>
      <c r="E25" s="13"/>
      <c r="F25" s="15">
        <f>'Jan 2026'!AL25</f>
        <v>0</v>
      </c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7">
        <f t="shared" si="0"/>
        <v>0</v>
      </c>
    </row>
    <row r="26" spans="1:35" x14ac:dyDescent="0.25">
      <c r="A26" s="13"/>
      <c r="B26" s="33" t="s">
        <v>101</v>
      </c>
      <c r="C26" s="22" t="s">
        <v>102</v>
      </c>
      <c r="D26" s="13"/>
      <c r="E26" s="13"/>
      <c r="F26" s="15">
        <f>'Jan 2026'!AL26</f>
        <v>0</v>
      </c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7">
        <f t="shared" si="0"/>
        <v>0</v>
      </c>
    </row>
    <row r="27" spans="1:35" x14ac:dyDescent="0.25">
      <c r="A27" s="13"/>
      <c r="B27" s="33" t="s">
        <v>103</v>
      </c>
      <c r="C27" s="22" t="s">
        <v>104</v>
      </c>
      <c r="D27" s="13"/>
      <c r="E27" s="13"/>
      <c r="F27" s="15">
        <f>'Jan 2026'!AL27</f>
        <v>0</v>
      </c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7">
        <f t="shared" si="0"/>
        <v>0</v>
      </c>
    </row>
    <row r="28" spans="1:35" x14ac:dyDescent="0.25">
      <c r="A28" s="13"/>
      <c r="B28" s="33" t="s">
        <v>105</v>
      </c>
      <c r="C28" s="22" t="s">
        <v>106</v>
      </c>
      <c r="D28" s="13"/>
      <c r="E28" s="13"/>
      <c r="F28" s="15">
        <f>'Jan 2026'!AL28</f>
        <v>0</v>
      </c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7">
        <f t="shared" si="0"/>
        <v>0</v>
      </c>
    </row>
    <row r="29" spans="1:35" x14ac:dyDescent="0.25">
      <c r="A29" s="13"/>
      <c r="B29" s="33" t="s">
        <v>107</v>
      </c>
      <c r="C29" s="22" t="s">
        <v>108</v>
      </c>
      <c r="D29" s="13"/>
      <c r="E29" s="13"/>
      <c r="F29" s="15">
        <f>'Jan 2026'!AL29</f>
        <v>0</v>
      </c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7">
        <f t="shared" si="0"/>
        <v>0</v>
      </c>
    </row>
    <row r="30" spans="1:35" ht="15.75" x14ac:dyDescent="0.25">
      <c r="A30" s="34"/>
      <c r="B30" s="32"/>
      <c r="C30" s="22" t="s">
        <v>109</v>
      </c>
      <c r="D30" s="13"/>
      <c r="E30" s="13"/>
      <c r="F30" s="15">
        <f>'Jan 2026'!AL30</f>
        <v>0</v>
      </c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7">
        <f t="shared" si="0"/>
        <v>0</v>
      </c>
    </row>
    <row r="31" spans="1:35" x14ac:dyDescent="0.25">
      <c r="A31" s="13"/>
      <c r="B31" s="33" t="s">
        <v>110</v>
      </c>
      <c r="C31" s="22" t="s">
        <v>111</v>
      </c>
      <c r="D31" s="13"/>
      <c r="E31" s="13"/>
      <c r="F31" s="15">
        <f>'Jan 2026'!AL31</f>
        <v>0</v>
      </c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7">
        <f t="shared" si="0"/>
        <v>0</v>
      </c>
    </row>
    <row r="32" spans="1:35" x14ac:dyDescent="0.25">
      <c r="A32" s="13"/>
      <c r="B32" s="22" t="s">
        <v>112</v>
      </c>
      <c r="C32" s="22" t="s">
        <v>113</v>
      </c>
      <c r="D32" s="13"/>
      <c r="E32" s="13"/>
      <c r="F32" s="15">
        <f>'Jan 2026'!AL32</f>
        <v>0</v>
      </c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7">
        <f t="shared" si="0"/>
        <v>0</v>
      </c>
    </row>
    <row r="33" spans="1:38" x14ac:dyDescent="0.25">
      <c r="A33" s="13"/>
      <c r="B33" s="22" t="s">
        <v>114</v>
      </c>
      <c r="C33" s="22" t="s">
        <v>115</v>
      </c>
      <c r="D33" s="13"/>
      <c r="E33" s="13"/>
      <c r="F33" s="15">
        <f>'Jan 2026'!AL33</f>
        <v>0</v>
      </c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7">
        <f t="shared" si="0"/>
        <v>0</v>
      </c>
    </row>
    <row r="34" spans="1:38" x14ac:dyDescent="0.25">
      <c r="A34" s="13"/>
      <c r="B34" s="22" t="s">
        <v>116</v>
      </c>
      <c r="C34" s="22" t="s">
        <v>117</v>
      </c>
      <c r="D34" s="13"/>
      <c r="E34" s="13"/>
      <c r="F34" s="15">
        <f>'Jan 2026'!AL34</f>
        <v>0</v>
      </c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7">
        <f t="shared" si="0"/>
        <v>0</v>
      </c>
    </row>
    <row r="35" spans="1:38" x14ac:dyDescent="0.25">
      <c r="A35" s="13"/>
      <c r="B35" s="22" t="s">
        <v>118</v>
      </c>
      <c r="C35" s="22" t="s">
        <v>119</v>
      </c>
      <c r="D35" s="13"/>
      <c r="E35" s="13"/>
      <c r="F35" s="15">
        <f>'Jan 2026'!AL35</f>
        <v>0</v>
      </c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7">
        <f t="shared" si="0"/>
        <v>0</v>
      </c>
    </row>
    <row r="36" spans="1:38" x14ac:dyDescent="0.25">
      <c r="A36" s="13"/>
      <c r="B36" s="22" t="s">
        <v>120</v>
      </c>
      <c r="C36" s="22" t="s">
        <v>121</v>
      </c>
      <c r="D36" s="13"/>
      <c r="E36" s="13"/>
      <c r="F36" s="15">
        <f>'Jan 2026'!AL36</f>
        <v>0</v>
      </c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7">
        <f t="shared" si="0"/>
        <v>0</v>
      </c>
    </row>
    <row r="37" spans="1:38" x14ac:dyDescent="0.25">
      <c r="A37" s="13"/>
      <c r="B37" s="22" t="s">
        <v>122</v>
      </c>
      <c r="C37" s="22" t="s">
        <v>123</v>
      </c>
      <c r="D37" s="13"/>
      <c r="E37" s="13"/>
      <c r="F37" s="15">
        <f>'Jan 2026'!AL37</f>
        <v>0</v>
      </c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7">
        <f t="shared" si="0"/>
        <v>0</v>
      </c>
    </row>
    <row r="38" spans="1:38" x14ac:dyDescent="0.25">
      <c r="A38" s="13"/>
      <c r="B38" s="13"/>
      <c r="C38" s="13"/>
      <c r="D38" s="13"/>
      <c r="E38" s="13"/>
      <c r="F38" s="15">
        <f>'Jan 2026'!AL38</f>
        <v>0</v>
      </c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27"/>
    </row>
    <row r="39" spans="1:38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27"/>
    </row>
    <row r="40" spans="1:38" x14ac:dyDescent="0.25">
      <c r="A40" s="3"/>
      <c r="B40" s="30"/>
      <c r="C40" s="30"/>
      <c r="D40" s="30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1"/>
      <c r="AJ40" s="1"/>
      <c r="AK40" s="1"/>
      <c r="AL40" s="1"/>
    </row>
    <row r="41" spans="1:38" x14ac:dyDescent="0.25">
      <c r="A41" s="3"/>
      <c r="B41" s="30"/>
      <c r="C41" s="30"/>
      <c r="D41" s="30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1"/>
      <c r="AJ41" s="1"/>
      <c r="AK41" s="1"/>
      <c r="AL41" s="1"/>
    </row>
    <row r="42" spans="1:38" ht="32.25" thickBot="1" x14ac:dyDescent="0.3">
      <c r="A42" s="1"/>
      <c r="B42" s="9" t="s">
        <v>21</v>
      </c>
      <c r="C42" s="21"/>
      <c r="D42" s="21"/>
      <c r="E42" s="11" t="s">
        <v>22</v>
      </c>
      <c r="F42" s="24" t="s">
        <v>23</v>
      </c>
      <c r="G42" s="28" t="s">
        <v>24</v>
      </c>
      <c r="H42" s="2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16.5" thickBot="1" x14ac:dyDescent="0.3">
      <c r="A43" s="1"/>
      <c r="B43" s="9" t="s">
        <v>25</v>
      </c>
      <c r="C43" s="21"/>
      <c r="D43" s="21"/>
      <c r="E43" s="10"/>
      <c r="F43" s="23"/>
      <c r="G43" s="40"/>
      <c r="H43" s="4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32.25" thickBot="1" x14ac:dyDescent="0.3">
      <c r="A44" s="1"/>
      <c r="B44" s="9" t="s">
        <v>26</v>
      </c>
      <c r="C44" s="21"/>
      <c r="D44" s="21"/>
      <c r="E44" s="11"/>
      <c r="F44" s="24"/>
      <c r="G44" s="42"/>
      <c r="H44" s="4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6.5" thickBot="1" x14ac:dyDescent="0.3">
      <c r="A45" s="1"/>
      <c r="B45" s="9" t="s">
        <v>27</v>
      </c>
      <c r="C45" s="21"/>
      <c r="D45" s="21"/>
      <c r="E45" s="12"/>
      <c r="F45" s="25"/>
      <c r="G45" s="44"/>
      <c r="H45" s="4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15.75" x14ac:dyDescent="0.25">
      <c r="A46" s="1"/>
      <c r="B46" s="46" t="s">
        <v>28</v>
      </c>
      <c r="C46" s="19"/>
      <c r="D46" s="19"/>
      <c r="E46" s="49"/>
      <c r="F46" s="52"/>
      <c r="G46" s="55"/>
      <c r="H46" s="56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15.75" x14ac:dyDescent="0.25">
      <c r="A47" s="1"/>
      <c r="B47" s="47"/>
      <c r="C47" s="20"/>
      <c r="D47" s="20"/>
      <c r="E47" s="50"/>
      <c r="F47" s="53"/>
      <c r="G47" s="55"/>
      <c r="H47" s="56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16.5" thickBot="1" x14ac:dyDescent="0.3">
      <c r="A48" s="1"/>
      <c r="B48" s="48"/>
      <c r="C48" s="9"/>
      <c r="D48" s="9"/>
      <c r="E48" s="51"/>
      <c r="F48" s="54"/>
      <c r="G48" s="57"/>
      <c r="H48" s="58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4" x14ac:dyDescent="0.25">
      <c r="A49" s="13" t="s">
        <v>71</v>
      </c>
      <c r="B49" s="22" t="s">
        <v>51</v>
      </c>
      <c r="C49" s="22" t="s">
        <v>31</v>
      </c>
      <c r="D49" s="13"/>
      <c r="E49" s="3" t="s">
        <v>72</v>
      </c>
      <c r="F49" s="15" t="e">
        <f>'Jan 2026'!#REF!</f>
        <v>#REF!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8" t="e">
        <f t="shared" ref="AH49:AH75" si="1">F49+SUM(G49:AG49)</f>
        <v>#REF!</v>
      </c>
    </row>
    <row r="50" spans="1:34" x14ac:dyDescent="0.25">
      <c r="A50" s="13"/>
      <c r="B50" s="22" t="s">
        <v>52</v>
      </c>
      <c r="C50" s="22" t="s">
        <v>32</v>
      </c>
      <c r="D50" s="13"/>
      <c r="E50" s="3" t="s">
        <v>72</v>
      </c>
      <c r="F50" s="15" t="e">
        <f>'Jan 2026'!#REF!</f>
        <v>#REF!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8" t="e">
        <f t="shared" si="1"/>
        <v>#REF!</v>
      </c>
    </row>
    <row r="51" spans="1:34" x14ac:dyDescent="0.25">
      <c r="A51" s="13"/>
      <c r="B51" s="22" t="s">
        <v>53</v>
      </c>
      <c r="C51" s="22" t="s">
        <v>33</v>
      </c>
      <c r="D51" s="13"/>
      <c r="E51" s="3" t="s">
        <v>72</v>
      </c>
      <c r="F51" s="15" t="e">
        <f>'Jan 2026'!#REF!</f>
        <v>#REF!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8" t="e">
        <f t="shared" si="1"/>
        <v>#REF!</v>
      </c>
    </row>
    <row r="52" spans="1:34" x14ac:dyDescent="0.25">
      <c r="A52" s="13"/>
      <c r="B52" s="22" t="s">
        <v>54</v>
      </c>
      <c r="C52" s="22" t="s">
        <v>34</v>
      </c>
      <c r="D52" s="13"/>
      <c r="E52" s="3" t="s">
        <v>72</v>
      </c>
      <c r="F52" s="15" t="e">
        <f>'Jan 2026'!#REF!</f>
        <v>#REF!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8" t="e">
        <f t="shared" si="1"/>
        <v>#REF!</v>
      </c>
    </row>
    <row r="53" spans="1:34" x14ac:dyDescent="0.25">
      <c r="A53" s="13" t="s">
        <v>71</v>
      </c>
      <c r="B53" s="22" t="s">
        <v>55</v>
      </c>
      <c r="C53" s="22" t="s">
        <v>35</v>
      </c>
      <c r="D53" s="13"/>
      <c r="E53" s="3" t="s">
        <v>72</v>
      </c>
      <c r="F53" s="15" t="e">
        <f>'Jan 2026'!#REF!</f>
        <v>#REF!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8" t="e">
        <f t="shared" si="1"/>
        <v>#REF!</v>
      </c>
    </row>
    <row r="54" spans="1:34" x14ac:dyDescent="0.25">
      <c r="A54" s="13" t="s">
        <v>71</v>
      </c>
      <c r="B54" s="22" t="s">
        <v>56</v>
      </c>
      <c r="C54" s="22" t="s">
        <v>36</v>
      </c>
      <c r="D54" s="13"/>
      <c r="E54" s="3" t="s">
        <v>72</v>
      </c>
      <c r="F54" s="15" t="e">
        <f>'Jan 2026'!#REF!</f>
        <v>#REF!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8" t="e">
        <f t="shared" si="1"/>
        <v>#REF!</v>
      </c>
    </row>
    <row r="55" spans="1:34" x14ac:dyDescent="0.25">
      <c r="A55" s="13" t="s">
        <v>71</v>
      </c>
      <c r="B55" s="22" t="s">
        <v>57</v>
      </c>
      <c r="C55" s="22" t="s">
        <v>37</v>
      </c>
      <c r="D55" s="13"/>
      <c r="E55" s="3" t="s">
        <v>72</v>
      </c>
      <c r="F55" s="15" t="e">
        <f>'Jan 2026'!#REF!</f>
        <v>#REF!</v>
      </c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8" t="e">
        <f t="shared" si="1"/>
        <v>#REF!</v>
      </c>
    </row>
    <row r="56" spans="1:34" x14ac:dyDescent="0.25">
      <c r="A56" s="13"/>
      <c r="B56" s="22" t="s">
        <v>58</v>
      </c>
      <c r="C56" s="22" t="s">
        <v>38</v>
      </c>
      <c r="D56" s="13"/>
      <c r="E56" s="3" t="s">
        <v>72</v>
      </c>
      <c r="F56" s="15" t="e">
        <f>'Jan 2026'!#REF!</f>
        <v>#REF!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8" t="e">
        <f t="shared" si="1"/>
        <v>#REF!</v>
      </c>
    </row>
    <row r="57" spans="1:34" x14ac:dyDescent="0.25">
      <c r="A57" s="13"/>
      <c r="B57" s="22" t="s">
        <v>59</v>
      </c>
      <c r="C57" s="22" t="s">
        <v>39</v>
      </c>
      <c r="D57" s="13"/>
      <c r="E57" s="3" t="s">
        <v>72</v>
      </c>
      <c r="F57" s="15">
        <f>'Jan 2026'!AL11</f>
        <v>0</v>
      </c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8">
        <f t="shared" si="1"/>
        <v>0</v>
      </c>
    </row>
    <row r="58" spans="1:34" x14ac:dyDescent="0.25">
      <c r="A58" s="13" t="s">
        <v>71</v>
      </c>
      <c r="B58" s="22" t="s">
        <v>60</v>
      </c>
      <c r="C58" s="22" t="s">
        <v>40</v>
      </c>
      <c r="D58" s="13"/>
      <c r="E58" s="3" t="s">
        <v>72</v>
      </c>
      <c r="F58" s="15">
        <f>'Jan 2026'!AL12</f>
        <v>0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8">
        <f t="shared" si="1"/>
        <v>0</v>
      </c>
    </row>
    <row r="59" spans="1:34" x14ac:dyDescent="0.25">
      <c r="A59" s="13" t="s">
        <v>71</v>
      </c>
      <c r="B59" s="22" t="s">
        <v>61</v>
      </c>
      <c r="C59" s="22" t="s">
        <v>41</v>
      </c>
      <c r="D59" s="13"/>
      <c r="E59" s="3" t="s">
        <v>72</v>
      </c>
      <c r="F59" s="15">
        <f>'Jan 2026'!AL13</f>
        <v>26</v>
      </c>
      <c r="G59" s="13"/>
      <c r="H59" s="13"/>
      <c r="I59" s="13"/>
      <c r="J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8">
        <f t="shared" si="1"/>
        <v>26</v>
      </c>
    </row>
    <row r="60" spans="1:34" x14ac:dyDescent="0.25">
      <c r="A60" s="13" t="s">
        <v>71</v>
      </c>
      <c r="B60" s="22" t="s">
        <v>62</v>
      </c>
      <c r="C60" s="22" t="s">
        <v>42</v>
      </c>
      <c r="D60" s="13"/>
      <c r="E60" s="3" t="s">
        <v>72</v>
      </c>
      <c r="F60" s="15">
        <f>'Jan 2026'!AL14</f>
        <v>0</v>
      </c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8">
        <f t="shared" si="1"/>
        <v>0</v>
      </c>
    </row>
    <row r="61" spans="1:34" x14ac:dyDescent="0.25">
      <c r="A61" s="13"/>
      <c r="B61" s="22" t="s">
        <v>63</v>
      </c>
      <c r="C61" s="22" t="s">
        <v>43</v>
      </c>
      <c r="D61" s="13"/>
      <c r="E61" s="3" t="s">
        <v>72</v>
      </c>
      <c r="F61" s="15">
        <f>'Jan 2026'!AL15</f>
        <v>0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8">
        <f t="shared" si="1"/>
        <v>0</v>
      </c>
    </row>
    <row r="62" spans="1:34" x14ac:dyDescent="0.25">
      <c r="A62" s="13" t="s">
        <v>71</v>
      </c>
      <c r="B62" s="22" t="s">
        <v>64</v>
      </c>
      <c r="C62" s="22" t="s">
        <v>44</v>
      </c>
      <c r="D62" s="13"/>
      <c r="E62" s="3" t="s">
        <v>72</v>
      </c>
      <c r="F62" s="15">
        <f>'Jan 2026'!AL16</f>
        <v>34</v>
      </c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8">
        <f t="shared" si="1"/>
        <v>34</v>
      </c>
    </row>
    <row r="63" spans="1:34" x14ac:dyDescent="0.25">
      <c r="A63" s="13"/>
      <c r="B63" s="22" t="s">
        <v>65</v>
      </c>
      <c r="C63" s="22" t="s">
        <v>45</v>
      </c>
      <c r="D63" s="13"/>
      <c r="E63" s="3" t="s">
        <v>72</v>
      </c>
      <c r="F63" s="15">
        <f>'Jan 2026'!AL17</f>
        <v>0</v>
      </c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8">
        <f t="shared" si="1"/>
        <v>0</v>
      </c>
    </row>
    <row r="64" spans="1:34" x14ac:dyDescent="0.25">
      <c r="A64" s="13"/>
      <c r="B64" s="22" t="s">
        <v>66</v>
      </c>
      <c r="C64" s="22" t="s">
        <v>46</v>
      </c>
      <c r="D64" s="13"/>
      <c r="E64" s="3" t="s">
        <v>72</v>
      </c>
      <c r="F64" s="15">
        <f>'Jan 2026'!AL18</f>
        <v>0</v>
      </c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8">
        <f t="shared" si="1"/>
        <v>0</v>
      </c>
    </row>
    <row r="65" spans="1:34" x14ac:dyDescent="0.25">
      <c r="A65" s="13" t="s">
        <v>71</v>
      </c>
      <c r="B65" s="22" t="s">
        <v>67</v>
      </c>
      <c r="C65" s="22" t="s">
        <v>47</v>
      </c>
      <c r="D65" s="13"/>
      <c r="E65" s="3" t="s">
        <v>72</v>
      </c>
      <c r="F65" s="15">
        <f>'Jan 2026'!AL19</f>
        <v>0</v>
      </c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8">
        <f t="shared" si="1"/>
        <v>0</v>
      </c>
    </row>
    <row r="66" spans="1:34" x14ac:dyDescent="0.25">
      <c r="A66" s="13" t="s">
        <v>71</v>
      </c>
      <c r="B66" s="22" t="s">
        <v>68</v>
      </c>
      <c r="C66" s="22" t="s">
        <v>48</v>
      </c>
      <c r="D66" s="13"/>
      <c r="E66" s="3" t="s">
        <v>72</v>
      </c>
      <c r="F66" s="15">
        <f>'Jan 2026'!AL20</f>
        <v>0</v>
      </c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8">
        <f t="shared" si="1"/>
        <v>0</v>
      </c>
    </row>
    <row r="67" spans="1:34" x14ac:dyDescent="0.25">
      <c r="A67" s="13" t="s">
        <v>71</v>
      </c>
      <c r="B67" s="22" t="s">
        <v>69</v>
      </c>
      <c r="C67" s="22" t="s">
        <v>49</v>
      </c>
      <c r="D67" s="13"/>
      <c r="E67" s="3" t="s">
        <v>72</v>
      </c>
      <c r="F67" s="15">
        <f>'Jan 2026'!AL21</f>
        <v>1</v>
      </c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8">
        <f t="shared" si="1"/>
        <v>1</v>
      </c>
    </row>
    <row r="68" spans="1:34" x14ac:dyDescent="0.25">
      <c r="A68" s="13" t="s">
        <v>71</v>
      </c>
      <c r="B68" s="22" t="s">
        <v>70</v>
      </c>
      <c r="C68" s="22" t="s">
        <v>50</v>
      </c>
      <c r="D68" s="13"/>
      <c r="E68" s="3" t="s">
        <v>72</v>
      </c>
      <c r="F68" s="15">
        <f>'Jan 2026'!AL22</f>
        <v>4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8">
        <f t="shared" si="1"/>
        <v>4</v>
      </c>
    </row>
    <row r="69" spans="1:34" x14ac:dyDescent="0.25">
      <c r="A69" s="13"/>
      <c r="B69" s="13"/>
      <c r="C69" s="13"/>
      <c r="D69" s="13"/>
      <c r="E69" s="13"/>
      <c r="F69" s="4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8">
        <f t="shared" si="1"/>
        <v>0</v>
      </c>
    </row>
    <row r="70" spans="1:34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8">
        <f t="shared" si="1"/>
        <v>0</v>
      </c>
    </row>
    <row r="71" spans="1:34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8">
        <f t="shared" si="1"/>
        <v>0</v>
      </c>
    </row>
    <row r="72" spans="1:34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8">
        <f t="shared" si="1"/>
        <v>0</v>
      </c>
    </row>
    <row r="73" spans="1:34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8">
        <f t="shared" si="1"/>
        <v>0</v>
      </c>
    </row>
    <row r="74" spans="1:34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8">
        <f t="shared" si="1"/>
        <v>0</v>
      </c>
    </row>
    <row r="75" spans="1:34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8">
        <f t="shared" si="1"/>
        <v>0</v>
      </c>
    </row>
    <row r="76" spans="1:34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8">
        <f t="shared" ref="AH76:AH87" si="2">F76+SUM(G76:AG76)</f>
        <v>0</v>
      </c>
    </row>
    <row r="77" spans="1:34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8">
        <f t="shared" si="2"/>
        <v>0</v>
      </c>
    </row>
    <row r="78" spans="1:34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8">
        <f t="shared" si="2"/>
        <v>0</v>
      </c>
    </row>
    <row r="79" spans="1:34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8">
        <f t="shared" si="2"/>
        <v>0</v>
      </c>
    </row>
    <row r="80" spans="1:34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8">
        <f t="shared" si="2"/>
        <v>0</v>
      </c>
    </row>
    <row r="81" spans="1:34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8">
        <f t="shared" si="2"/>
        <v>0</v>
      </c>
    </row>
    <row r="82" spans="1:34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8">
        <f t="shared" si="2"/>
        <v>0</v>
      </c>
    </row>
    <row r="83" spans="1:34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8">
        <f t="shared" si="2"/>
        <v>0</v>
      </c>
    </row>
    <row r="84" spans="1:34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8">
        <f t="shared" si="2"/>
        <v>0</v>
      </c>
    </row>
    <row r="85" spans="1:34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8">
        <f t="shared" si="2"/>
        <v>0</v>
      </c>
    </row>
    <row r="86" spans="1:34" x14ac:dyDescent="0.25">
      <c r="A86" s="3"/>
      <c r="B86" s="30"/>
      <c r="C86" s="30"/>
      <c r="D86" s="30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8">
        <f t="shared" si="2"/>
        <v>0</v>
      </c>
    </row>
    <row r="87" spans="1:34" x14ac:dyDescent="0.25">
      <c r="A87" s="3"/>
      <c r="B87" s="30"/>
      <c r="C87" s="30"/>
      <c r="D87" s="30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8">
        <f t="shared" si="2"/>
        <v>0</v>
      </c>
    </row>
    <row r="88" spans="1:34" ht="32.25" thickBot="1" x14ac:dyDescent="0.3">
      <c r="A88" s="1"/>
      <c r="B88" s="9" t="s">
        <v>21</v>
      </c>
      <c r="C88" s="21"/>
      <c r="D88" s="21"/>
      <c r="E88" s="11" t="s">
        <v>22</v>
      </c>
      <c r="F88" s="24" t="s">
        <v>23</v>
      </c>
      <c r="G88" s="28" t="s">
        <v>24</v>
      </c>
      <c r="H88" s="29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4" ht="16.5" thickBot="1" x14ac:dyDescent="0.3">
      <c r="A89" s="1"/>
      <c r="B89" s="9" t="s">
        <v>25</v>
      </c>
      <c r="C89" s="21"/>
      <c r="D89" s="21"/>
      <c r="E89" s="10"/>
      <c r="F89" s="23"/>
      <c r="G89" s="40"/>
      <c r="H89" s="4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4" ht="32.25" thickBot="1" x14ac:dyDescent="0.3">
      <c r="A90" s="1"/>
      <c r="B90" s="9" t="s">
        <v>26</v>
      </c>
      <c r="C90" s="21"/>
      <c r="D90" s="21"/>
      <c r="E90" s="11"/>
      <c r="F90" s="24"/>
      <c r="G90" s="42"/>
      <c r="H90" s="43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4" ht="16.5" thickBot="1" x14ac:dyDescent="0.3">
      <c r="A91" s="1"/>
      <c r="B91" s="9" t="s">
        <v>27</v>
      </c>
      <c r="C91" s="21"/>
      <c r="D91" s="21"/>
      <c r="E91" s="12"/>
      <c r="F91" s="25"/>
      <c r="G91" s="44"/>
      <c r="H91" s="45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4" ht="15.75" x14ac:dyDescent="0.25">
      <c r="A92" s="1"/>
      <c r="B92" s="46" t="s">
        <v>28</v>
      </c>
      <c r="C92" s="19"/>
      <c r="D92" s="19"/>
      <c r="E92" s="49"/>
      <c r="F92" s="52"/>
      <c r="G92" s="55"/>
      <c r="H92" s="5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4" ht="15.75" x14ac:dyDescent="0.25">
      <c r="A93" s="1"/>
      <c r="B93" s="47"/>
      <c r="C93" s="20"/>
      <c r="D93" s="20"/>
      <c r="E93" s="50"/>
      <c r="F93" s="53"/>
      <c r="G93" s="55"/>
      <c r="H93" s="5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4" ht="16.5" thickBot="1" x14ac:dyDescent="0.3">
      <c r="A94" s="1"/>
      <c r="B94" s="48"/>
      <c r="C94" s="9"/>
      <c r="D94" s="9"/>
      <c r="E94" s="51"/>
      <c r="F94" s="54"/>
      <c r="G94" s="57"/>
      <c r="H94" s="5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4" x14ac:dyDescent="0.25">
      <c r="A95" s="1"/>
      <c r="B95" s="2"/>
      <c r="C95" s="2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4" x14ac:dyDescent="0.25">
      <c r="A96" s="1"/>
      <c r="B96" s="2"/>
      <c r="C96" s="2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x14ac:dyDescent="0.25">
      <c r="A97" s="1"/>
      <c r="B97" s="2"/>
      <c r="C97" s="2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x14ac:dyDescent="0.25">
      <c r="A98" s="1"/>
      <c r="B98" s="2"/>
      <c r="C98" s="2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x14ac:dyDescent="0.25">
      <c r="A99" s="1"/>
      <c r="B99" s="2"/>
      <c r="C99" s="2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x14ac:dyDescent="0.25">
      <c r="A100" s="1"/>
      <c r="B100" s="2"/>
      <c r="C100" s="2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x14ac:dyDescent="0.25">
      <c r="A101" s="1"/>
      <c r="B101" s="2"/>
      <c r="C101" s="2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x14ac:dyDescent="0.25">
      <c r="A102" s="1"/>
      <c r="B102" s="2"/>
      <c r="C102" s="2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x14ac:dyDescent="0.25">
      <c r="A103" s="1"/>
      <c r="B103" s="2"/>
      <c r="C103" s="2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x14ac:dyDescent="0.25">
      <c r="A104" s="1"/>
      <c r="B104" s="2"/>
      <c r="C104" s="2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x14ac:dyDescent="0.25">
      <c r="A105" s="1"/>
      <c r="B105" s="2"/>
      <c r="C105" s="2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x14ac:dyDescent="0.25">
      <c r="A106" s="1"/>
      <c r="B106" s="2"/>
      <c r="C106" s="2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x14ac:dyDescent="0.25">
      <c r="A107" s="1"/>
      <c r="B107" s="2"/>
      <c r="C107" s="2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x14ac:dyDescent="0.25">
      <c r="A108" s="1"/>
      <c r="B108" s="2"/>
      <c r="C108" s="2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x14ac:dyDescent="0.25">
      <c r="A109" s="1"/>
      <c r="B109" s="2"/>
      <c r="C109" s="2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x14ac:dyDescent="0.25">
      <c r="A110" s="1"/>
      <c r="B110" s="2"/>
      <c r="C110" s="2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x14ac:dyDescent="0.25">
      <c r="A111" s="1"/>
      <c r="B111" s="2"/>
      <c r="C111" s="2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x14ac:dyDescent="0.25">
      <c r="A112" s="1"/>
      <c r="B112" s="2"/>
      <c r="C112" s="2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x14ac:dyDescent="0.25">
      <c r="A113" s="1"/>
      <c r="B113" s="2"/>
      <c r="C113" s="2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x14ac:dyDescent="0.25">
      <c r="A114" s="1"/>
      <c r="B114" s="2"/>
      <c r="C114" s="2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x14ac:dyDescent="0.25">
      <c r="A115" s="1"/>
      <c r="B115" s="2"/>
      <c r="C115" s="2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x14ac:dyDescent="0.25">
      <c r="A116" s="1"/>
      <c r="B116" s="2"/>
      <c r="C116" s="2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x14ac:dyDescent="0.25">
      <c r="A117" s="1"/>
      <c r="B117" s="2"/>
      <c r="C117" s="2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x14ac:dyDescent="0.25">
      <c r="A118" s="1"/>
      <c r="B118" s="2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x14ac:dyDescent="0.25">
      <c r="A119" s="1"/>
      <c r="B119" s="2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x14ac:dyDescent="0.25">
      <c r="A120" s="1"/>
      <c r="B120" s="2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x14ac:dyDescent="0.25">
      <c r="A121" s="1"/>
      <c r="B121" s="2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x14ac:dyDescent="0.25">
      <c r="A122" s="1"/>
      <c r="B122" s="2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x14ac:dyDescent="0.25">
      <c r="A123" s="1"/>
      <c r="B123" s="2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x14ac:dyDescent="0.25">
      <c r="A124" s="1"/>
      <c r="B124" s="2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x14ac:dyDescent="0.25">
      <c r="A125" s="1"/>
      <c r="B125" s="2"/>
      <c r="C125" s="2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x14ac:dyDescent="0.25">
      <c r="A126" s="1"/>
      <c r="B126" s="2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x14ac:dyDescent="0.25">
      <c r="A127" s="1"/>
      <c r="B127" s="2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x14ac:dyDescent="0.25">
      <c r="A128" s="1"/>
      <c r="B128" s="2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x14ac:dyDescent="0.25">
      <c r="A129" s="1"/>
      <c r="B129" s="2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x14ac:dyDescent="0.25">
      <c r="A130" s="1"/>
      <c r="B130" s="2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x14ac:dyDescent="0.25">
      <c r="A131" s="1"/>
      <c r="B131" s="2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x14ac:dyDescent="0.25">
      <c r="A132" s="1"/>
      <c r="B132" s="2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</sheetData>
  <autoFilter ref="A10:AL38" xr:uid="{0389DD10-0AC2-461A-BA2F-54E478B0327A}"/>
  <mergeCells count="31">
    <mergeCell ref="E1:Q1"/>
    <mergeCell ref="E2:Q2"/>
    <mergeCell ref="E3:Q3"/>
    <mergeCell ref="E4:Q4"/>
    <mergeCell ref="E5:G5"/>
    <mergeCell ref="H5:J5"/>
    <mergeCell ref="K5:L5"/>
    <mergeCell ref="N5:O5"/>
    <mergeCell ref="P5:Q5"/>
    <mergeCell ref="E6:G6"/>
    <mergeCell ref="H6:J6"/>
    <mergeCell ref="K6:L6"/>
    <mergeCell ref="M6:Q6"/>
    <mergeCell ref="E7:G7"/>
    <mergeCell ref="H7:J7"/>
    <mergeCell ref="K7:L7"/>
    <mergeCell ref="M7:Q7"/>
    <mergeCell ref="G89:H89"/>
    <mergeCell ref="G90:H90"/>
    <mergeCell ref="G91:H91"/>
    <mergeCell ref="B92:B94"/>
    <mergeCell ref="E92:E94"/>
    <mergeCell ref="F92:F94"/>
    <mergeCell ref="G92:H94"/>
    <mergeCell ref="G43:H43"/>
    <mergeCell ref="G44:H44"/>
    <mergeCell ref="G45:H45"/>
    <mergeCell ref="B46:B48"/>
    <mergeCell ref="E46:E48"/>
    <mergeCell ref="F46:F48"/>
    <mergeCell ref="G46:H48"/>
  </mergeCells>
  <conditionalFormatting sqref="AH49:AH87">
    <cfRule type="cellIs" dxfId="11" priority="4" operator="greaterThan">
      <formula>#REF!</formula>
    </cfRule>
    <cfRule type="cellIs" dxfId="10" priority="5" operator="between">
      <formula>11</formula>
      <formula>50</formula>
    </cfRule>
    <cfRule type="cellIs" dxfId="9" priority="6" operator="lessThan">
      <formula>#REF!</formula>
    </cfRule>
  </conditionalFormatting>
  <conditionalFormatting sqref="AI11:AI39">
    <cfRule type="cellIs" dxfId="8" priority="1" operator="greaterThan">
      <formula>#REF!</formula>
    </cfRule>
    <cfRule type="cellIs" dxfId="7" priority="2" operator="between">
      <formula>11</formula>
      <formula>50</formula>
    </cfRule>
    <cfRule type="cellIs" dxfId="6" priority="3" operator="lessThan">
      <formula>#REF!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8FEE7-8C48-4B84-83D1-F1745F79DC94}">
  <dimension ref="A1:AP50"/>
  <sheetViews>
    <sheetView workbookViewId="0">
      <pane xSplit="4" ySplit="10" topLeftCell="L11" activePane="bottomRight" state="frozen"/>
      <selection pane="topRight" activeCell="E1" sqref="E1"/>
      <selection pane="bottomLeft" activeCell="A11" sqref="A11"/>
      <selection pane="bottomRight" activeCell="Q21" sqref="Q21"/>
    </sheetView>
  </sheetViews>
  <sheetFormatPr defaultRowHeight="15" x14ac:dyDescent="0.25"/>
  <cols>
    <col min="2" max="2" width="13.42578125" bestFit="1" customWidth="1"/>
    <col min="3" max="3" width="48.140625" bestFit="1" customWidth="1"/>
  </cols>
  <sheetData>
    <row r="1" spans="1:42" ht="22.5" x14ac:dyDescent="0.25">
      <c r="E1" s="64" t="s">
        <v>29</v>
      </c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</row>
    <row r="2" spans="1:42" x14ac:dyDescent="0.25">
      <c r="E2" s="65" t="s">
        <v>30</v>
      </c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7"/>
    </row>
    <row r="3" spans="1:42" ht="15.75" x14ac:dyDescent="0.25">
      <c r="E3" s="68" t="s">
        <v>0</v>
      </c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</row>
    <row r="4" spans="1:42" x14ac:dyDescent="0.25">
      <c r="E4" s="69" t="s">
        <v>1</v>
      </c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</row>
    <row r="5" spans="1:42" ht="15.75" x14ac:dyDescent="0.25">
      <c r="E5" s="59" t="s">
        <v>2</v>
      </c>
      <c r="F5" s="59"/>
      <c r="G5" s="59"/>
      <c r="H5" s="70" t="s">
        <v>3</v>
      </c>
      <c r="I5" s="71"/>
      <c r="J5" s="72"/>
      <c r="K5" s="61" t="s">
        <v>4</v>
      </c>
      <c r="L5" s="61"/>
      <c r="M5" s="13">
        <v>0</v>
      </c>
      <c r="N5" s="73" t="s">
        <v>5</v>
      </c>
      <c r="O5" s="73"/>
      <c r="P5" s="74"/>
      <c r="Q5" s="75"/>
    </row>
    <row r="6" spans="1:42" ht="15.75" x14ac:dyDescent="0.25">
      <c r="E6" s="59" t="s">
        <v>6</v>
      </c>
      <c r="F6" s="59"/>
      <c r="G6" s="59"/>
      <c r="H6" s="60" t="s">
        <v>7</v>
      </c>
      <c r="I6" s="60"/>
      <c r="J6" s="60"/>
      <c r="K6" s="61" t="s">
        <v>8</v>
      </c>
      <c r="L6" s="61"/>
      <c r="M6" s="62" t="s">
        <v>9</v>
      </c>
      <c r="N6" s="62"/>
      <c r="O6" s="62"/>
      <c r="P6" s="62"/>
      <c r="Q6" s="62"/>
    </row>
    <row r="7" spans="1:42" ht="15.75" x14ac:dyDescent="0.25">
      <c r="E7" s="61" t="s">
        <v>10</v>
      </c>
      <c r="F7" s="61"/>
      <c r="G7" s="61"/>
      <c r="H7" s="63"/>
      <c r="I7" s="63"/>
      <c r="J7" s="63"/>
      <c r="K7" s="61" t="s">
        <v>11</v>
      </c>
      <c r="L7" s="61"/>
      <c r="M7" s="62"/>
      <c r="N7" s="62"/>
      <c r="O7" s="62"/>
      <c r="P7" s="62"/>
      <c r="Q7" s="62"/>
    </row>
    <row r="9" spans="1:42" x14ac:dyDescent="0.25">
      <c r="A9" t="s">
        <v>12</v>
      </c>
    </row>
    <row r="10" spans="1:42" ht="26.25" x14ac:dyDescent="0.25">
      <c r="A10" s="26" t="s">
        <v>13</v>
      </c>
      <c r="B10" s="6" t="s">
        <v>14</v>
      </c>
      <c r="C10" s="6" t="s">
        <v>15</v>
      </c>
      <c r="D10" s="6" t="s">
        <v>16</v>
      </c>
      <c r="E10" s="7" t="s">
        <v>17</v>
      </c>
      <c r="F10" s="15" t="s">
        <v>126</v>
      </c>
      <c r="G10" s="35">
        <v>46082</v>
      </c>
      <c r="H10" s="35">
        <v>46083</v>
      </c>
      <c r="I10" s="35">
        <v>46084</v>
      </c>
      <c r="J10" s="35">
        <v>46085</v>
      </c>
      <c r="K10" s="35">
        <v>46086</v>
      </c>
      <c r="L10" s="35">
        <v>46087</v>
      </c>
      <c r="M10" s="35">
        <v>46088</v>
      </c>
      <c r="N10" s="35">
        <v>46089</v>
      </c>
      <c r="O10" s="35">
        <v>46090</v>
      </c>
      <c r="P10" s="35">
        <v>46091</v>
      </c>
      <c r="Q10" s="35">
        <v>46092</v>
      </c>
      <c r="R10" s="35">
        <v>46093</v>
      </c>
      <c r="S10" s="35">
        <v>46094</v>
      </c>
      <c r="T10" s="35">
        <v>46095</v>
      </c>
      <c r="U10" s="35">
        <v>46096</v>
      </c>
      <c r="V10" s="35">
        <v>46097</v>
      </c>
      <c r="W10" s="35">
        <v>46098</v>
      </c>
      <c r="X10" s="35">
        <v>46099</v>
      </c>
      <c r="Y10" s="35">
        <v>46100</v>
      </c>
      <c r="Z10" s="35">
        <v>46101</v>
      </c>
      <c r="AA10" s="35">
        <v>46102</v>
      </c>
      <c r="AB10" s="35">
        <v>46103</v>
      </c>
      <c r="AC10" s="35">
        <v>46104</v>
      </c>
      <c r="AD10" s="35">
        <v>46105</v>
      </c>
      <c r="AE10" s="35">
        <v>46106</v>
      </c>
      <c r="AF10" s="35">
        <v>46107</v>
      </c>
      <c r="AG10" s="35">
        <v>46108</v>
      </c>
      <c r="AH10" s="35">
        <v>46109</v>
      </c>
      <c r="AI10" s="35">
        <v>46110</v>
      </c>
      <c r="AJ10" s="35">
        <v>46111</v>
      </c>
      <c r="AK10" s="35">
        <v>46112</v>
      </c>
      <c r="AL10" s="15" t="s">
        <v>127</v>
      </c>
      <c r="AM10" s="5" t="s">
        <v>18</v>
      </c>
      <c r="AN10" s="5" t="s">
        <v>19</v>
      </c>
      <c r="AO10" s="5" t="s">
        <v>20</v>
      </c>
    </row>
    <row r="11" spans="1:42" x14ac:dyDescent="0.25">
      <c r="A11" s="13"/>
      <c r="B11" s="33" t="s">
        <v>73</v>
      </c>
      <c r="C11" s="22" t="s">
        <v>74</v>
      </c>
      <c r="D11" s="13"/>
      <c r="E11" s="3"/>
      <c r="F11" s="39">
        <f>'Feb 2026'!AI11</f>
        <v>0</v>
      </c>
      <c r="G11" s="31"/>
      <c r="H11" s="31"/>
      <c r="I11" s="31"/>
      <c r="J11" s="31"/>
      <c r="K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14"/>
      <c r="X11" s="31"/>
      <c r="Y11" s="31"/>
      <c r="Z11" s="31"/>
      <c r="AA11" s="31"/>
      <c r="AB11" s="14"/>
      <c r="AC11" s="31"/>
      <c r="AD11" s="31"/>
      <c r="AE11" s="31"/>
      <c r="AF11" s="31"/>
      <c r="AG11" s="31"/>
      <c r="AH11" s="31"/>
      <c r="AI11" s="31"/>
      <c r="AJ11" s="31"/>
      <c r="AK11" s="31"/>
      <c r="AL11" s="37">
        <f>F11+SUM(G11:AK11)</f>
        <v>0</v>
      </c>
      <c r="AP11" t="s">
        <v>128</v>
      </c>
    </row>
    <row r="12" spans="1:42" x14ac:dyDescent="0.25">
      <c r="A12" s="13"/>
      <c r="B12" s="33" t="s">
        <v>75</v>
      </c>
      <c r="C12" s="22" t="s">
        <v>76</v>
      </c>
      <c r="D12" s="13"/>
      <c r="E12" s="3"/>
      <c r="F12" s="39">
        <f>'Feb 2026'!AI12</f>
        <v>0</v>
      </c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7">
        <f t="shared" ref="AL12:AL37" si="0">F12+SUM(G12:AK12)</f>
        <v>0</v>
      </c>
      <c r="AP12" t="s">
        <v>128</v>
      </c>
    </row>
    <row r="13" spans="1:42" x14ac:dyDescent="0.25">
      <c r="A13" s="13" t="s">
        <v>124</v>
      </c>
      <c r="B13" s="33" t="s">
        <v>77</v>
      </c>
      <c r="C13" s="22" t="s">
        <v>78</v>
      </c>
      <c r="D13" s="13"/>
      <c r="E13" s="3"/>
      <c r="F13" s="39">
        <f>'Feb 2026'!AI13</f>
        <v>11</v>
      </c>
      <c r="G13" s="31"/>
      <c r="I13" s="31"/>
      <c r="J13" s="31"/>
      <c r="K13" s="31">
        <v>-8</v>
      </c>
      <c r="L13" s="14">
        <v>35</v>
      </c>
      <c r="M13" s="31"/>
      <c r="N13" s="31"/>
      <c r="O13" s="31"/>
      <c r="P13" s="31">
        <v>-1</v>
      </c>
      <c r="Q13" s="31">
        <v>-2</v>
      </c>
      <c r="R13" s="31"/>
      <c r="S13" s="31"/>
      <c r="T13" s="31"/>
      <c r="U13" s="31"/>
      <c r="V13" s="31"/>
      <c r="W13" s="31">
        <v>-3</v>
      </c>
      <c r="X13" s="31"/>
      <c r="Y13" s="31"/>
      <c r="Z13" s="14"/>
      <c r="AA13" s="31">
        <v>-1</v>
      </c>
      <c r="AB13" s="31"/>
      <c r="AC13" s="31"/>
      <c r="AD13" s="31"/>
      <c r="AE13" s="31"/>
      <c r="AF13" s="31">
        <v>-1</v>
      </c>
      <c r="AG13" s="31"/>
      <c r="AH13" s="31"/>
      <c r="AI13" s="31"/>
      <c r="AJ13" s="31"/>
      <c r="AK13" s="31"/>
      <c r="AL13" s="37">
        <f t="shared" si="0"/>
        <v>30</v>
      </c>
      <c r="AM13">
        <v>5</v>
      </c>
      <c r="AN13">
        <v>10</v>
      </c>
      <c r="AO13">
        <v>25</v>
      </c>
    </row>
    <row r="14" spans="1:42" x14ac:dyDescent="0.25">
      <c r="A14" s="13"/>
      <c r="B14" s="33" t="s">
        <v>79</v>
      </c>
      <c r="C14" s="22" t="s">
        <v>80</v>
      </c>
      <c r="D14" s="13"/>
      <c r="E14" s="3"/>
      <c r="F14" s="39">
        <f>'Feb 2026'!AI14</f>
        <v>0</v>
      </c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7">
        <f t="shared" si="0"/>
        <v>0</v>
      </c>
      <c r="AP14" t="s">
        <v>128</v>
      </c>
    </row>
    <row r="15" spans="1:42" x14ac:dyDescent="0.25">
      <c r="A15" s="13"/>
      <c r="B15" s="33" t="s">
        <v>81</v>
      </c>
      <c r="C15" s="22" t="s">
        <v>82</v>
      </c>
      <c r="D15" s="13"/>
      <c r="E15" s="3"/>
      <c r="F15" s="39">
        <f>'Feb 2026'!AI15</f>
        <v>0</v>
      </c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7">
        <f t="shared" si="0"/>
        <v>0</v>
      </c>
      <c r="AP15" t="s">
        <v>128</v>
      </c>
    </row>
    <row r="16" spans="1:42" x14ac:dyDescent="0.25">
      <c r="A16" s="13" t="s">
        <v>124</v>
      </c>
      <c r="B16" s="33" t="s">
        <v>83</v>
      </c>
      <c r="C16" s="22" t="s">
        <v>84</v>
      </c>
      <c r="D16" s="13"/>
      <c r="E16" s="3"/>
      <c r="F16" s="39">
        <f>'Feb 2026'!AI16</f>
        <v>34</v>
      </c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7">
        <f t="shared" si="0"/>
        <v>34</v>
      </c>
      <c r="AP16" t="s">
        <v>128</v>
      </c>
    </row>
    <row r="17" spans="1:42" x14ac:dyDescent="0.25">
      <c r="A17" s="13"/>
      <c r="B17" s="33" t="s">
        <v>85</v>
      </c>
      <c r="C17" s="22" t="s">
        <v>86</v>
      </c>
      <c r="D17" s="13"/>
      <c r="E17" s="3"/>
      <c r="F17" s="39">
        <f>'Feb 2026'!AI17</f>
        <v>0</v>
      </c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7">
        <f t="shared" si="0"/>
        <v>0</v>
      </c>
      <c r="AP17" t="s">
        <v>128</v>
      </c>
    </row>
    <row r="18" spans="1:42" x14ac:dyDescent="0.25">
      <c r="A18" s="13"/>
      <c r="B18" s="33" t="s">
        <v>87</v>
      </c>
      <c r="C18" s="22" t="s">
        <v>88</v>
      </c>
      <c r="D18" s="13"/>
      <c r="E18" s="3"/>
      <c r="F18" s="39">
        <f>'Feb 2026'!AI18</f>
        <v>0</v>
      </c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7">
        <f t="shared" si="0"/>
        <v>0</v>
      </c>
      <c r="AP18" t="s">
        <v>128</v>
      </c>
    </row>
    <row r="19" spans="1:42" x14ac:dyDescent="0.25">
      <c r="A19" s="13"/>
      <c r="B19" s="33" t="s">
        <v>89</v>
      </c>
      <c r="C19" s="22" t="s">
        <v>90</v>
      </c>
      <c r="D19" s="13"/>
      <c r="E19" s="3"/>
      <c r="F19" s="39">
        <f>'Feb 2026'!AI19</f>
        <v>0</v>
      </c>
      <c r="G19" s="31"/>
      <c r="H19" s="31"/>
      <c r="I19" s="31"/>
      <c r="J19" s="31"/>
      <c r="K19" s="14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7">
        <f t="shared" si="0"/>
        <v>0</v>
      </c>
      <c r="AP19" t="s">
        <v>128</v>
      </c>
    </row>
    <row r="20" spans="1:42" x14ac:dyDescent="0.25">
      <c r="A20" s="13"/>
      <c r="B20" s="33" t="s">
        <v>91</v>
      </c>
      <c r="C20" s="22" t="s">
        <v>92</v>
      </c>
      <c r="D20" s="13"/>
      <c r="E20" s="3"/>
      <c r="F20" s="39">
        <f>'Feb 2026'!AI20</f>
        <v>0</v>
      </c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14"/>
      <c r="AI20" s="31"/>
      <c r="AJ20" s="31"/>
      <c r="AK20" s="31"/>
      <c r="AL20" s="37">
        <f t="shared" si="0"/>
        <v>0</v>
      </c>
      <c r="AP20" t="s">
        <v>128</v>
      </c>
    </row>
    <row r="21" spans="1:42" x14ac:dyDescent="0.25">
      <c r="A21" s="13" t="s">
        <v>124</v>
      </c>
      <c r="B21" s="33" t="s">
        <v>91</v>
      </c>
      <c r="C21" s="22" t="s">
        <v>93</v>
      </c>
      <c r="D21" s="13"/>
      <c r="E21" s="3"/>
      <c r="F21" s="39">
        <f>'Feb 2026'!AI21</f>
        <v>2</v>
      </c>
      <c r="G21" s="31"/>
      <c r="H21" s="31"/>
      <c r="J21" s="31"/>
      <c r="K21" s="31"/>
      <c r="L21" s="31"/>
      <c r="M21" s="31"/>
      <c r="N21" s="31"/>
      <c r="O21" s="31"/>
      <c r="P21" s="31">
        <v>-1</v>
      </c>
      <c r="Q21" s="14">
        <v>1</v>
      </c>
      <c r="R21" s="31">
        <f>-1+-1</f>
        <v>-2</v>
      </c>
      <c r="S21" s="31"/>
      <c r="T21" s="38"/>
      <c r="U21" s="31"/>
      <c r="V21" s="14"/>
      <c r="W21" s="31"/>
      <c r="X21" s="31"/>
      <c r="Y21" s="14"/>
      <c r="Z21" s="31"/>
      <c r="AA21" s="31"/>
      <c r="AB21" s="31"/>
      <c r="AC21" s="14"/>
      <c r="AD21" s="31"/>
      <c r="AE21" s="31"/>
      <c r="AF21" s="31">
        <v>-1</v>
      </c>
      <c r="AG21" s="31"/>
      <c r="AH21" s="14"/>
      <c r="AI21" s="31"/>
      <c r="AJ21" s="31"/>
      <c r="AK21" s="31"/>
      <c r="AL21" s="37">
        <f t="shared" si="0"/>
        <v>-1</v>
      </c>
      <c r="AP21" t="s">
        <v>128</v>
      </c>
    </row>
    <row r="22" spans="1:42" x14ac:dyDescent="0.25">
      <c r="A22" s="13" t="s">
        <v>125</v>
      </c>
      <c r="B22" s="33" t="s">
        <v>94</v>
      </c>
      <c r="C22" s="22" t="s">
        <v>95</v>
      </c>
      <c r="D22" s="13"/>
      <c r="E22" s="3"/>
      <c r="F22" s="39">
        <f>'Feb 2026'!AI22</f>
        <v>4</v>
      </c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14"/>
      <c r="AI22" s="31"/>
      <c r="AJ22" s="31"/>
      <c r="AK22" s="31"/>
      <c r="AL22" s="37">
        <f t="shared" si="0"/>
        <v>4</v>
      </c>
      <c r="AP22" t="s">
        <v>128</v>
      </c>
    </row>
    <row r="23" spans="1:42" x14ac:dyDescent="0.25">
      <c r="A23" s="13" t="s">
        <v>125</v>
      </c>
      <c r="B23" s="33" t="s">
        <v>96</v>
      </c>
      <c r="C23" s="22" t="s">
        <v>97</v>
      </c>
      <c r="D23" s="13"/>
      <c r="E23" s="3"/>
      <c r="F23" s="39">
        <f>'Feb 2026'!AI23</f>
        <v>10</v>
      </c>
      <c r="G23" s="31"/>
      <c r="H23" s="31"/>
      <c r="I23" s="31"/>
      <c r="J23" s="31">
        <v>-10</v>
      </c>
      <c r="K23" s="14">
        <v>11</v>
      </c>
      <c r="L23" s="31">
        <f>-2+-2</f>
        <v>-4</v>
      </c>
      <c r="M23" s="14"/>
      <c r="N23" s="14"/>
      <c r="O23" s="14"/>
      <c r="P23" s="31">
        <v>-6</v>
      </c>
      <c r="Q23" s="31"/>
      <c r="R23" s="14">
        <v>1</v>
      </c>
      <c r="S23" s="31"/>
      <c r="T23" s="14"/>
      <c r="U23" s="31"/>
      <c r="V23" s="31"/>
      <c r="W23" s="31">
        <f>-1+-5+-2+-5</f>
        <v>-13</v>
      </c>
      <c r="X23" s="31"/>
      <c r="Y23" s="31"/>
      <c r="Z23" s="31"/>
      <c r="AA23" s="14"/>
      <c r="AB23" s="31"/>
      <c r="AC23" s="31"/>
      <c r="AD23" s="31"/>
      <c r="AE23" s="31"/>
      <c r="AF23" s="31"/>
      <c r="AG23" s="31"/>
      <c r="AH23" s="31"/>
      <c r="AI23" s="14"/>
      <c r="AJ23" s="31"/>
      <c r="AK23" s="31"/>
      <c r="AL23" s="37">
        <f t="shared" si="0"/>
        <v>-11</v>
      </c>
      <c r="AM23">
        <v>5</v>
      </c>
      <c r="AN23">
        <v>10</v>
      </c>
      <c r="AO23">
        <v>15</v>
      </c>
    </row>
    <row r="24" spans="1:42" x14ac:dyDescent="0.25">
      <c r="A24" s="13" t="s">
        <v>125</v>
      </c>
      <c r="C24" s="22" t="s">
        <v>98</v>
      </c>
      <c r="D24" s="13"/>
      <c r="E24" s="3"/>
      <c r="F24" s="39">
        <f>'Feb 2026'!AI24</f>
        <v>2</v>
      </c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7">
        <f t="shared" si="0"/>
        <v>2</v>
      </c>
      <c r="AP24" t="s">
        <v>128</v>
      </c>
    </row>
    <row r="25" spans="1:42" x14ac:dyDescent="0.25">
      <c r="A25" s="13"/>
      <c r="B25" s="33" t="s">
        <v>99</v>
      </c>
      <c r="C25" s="22" t="s">
        <v>100</v>
      </c>
      <c r="D25" s="13"/>
      <c r="E25" s="13"/>
      <c r="F25" s="39">
        <f>'Feb 2026'!AI25</f>
        <v>0</v>
      </c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7">
        <f t="shared" si="0"/>
        <v>0</v>
      </c>
      <c r="AP25" t="s">
        <v>128</v>
      </c>
    </row>
    <row r="26" spans="1:42" x14ac:dyDescent="0.25">
      <c r="A26" s="13"/>
      <c r="B26" s="33" t="s">
        <v>101</v>
      </c>
      <c r="C26" s="22" t="s">
        <v>102</v>
      </c>
      <c r="D26" s="13"/>
      <c r="E26" s="13"/>
      <c r="F26" s="39">
        <f>'Feb 2026'!AI26</f>
        <v>0</v>
      </c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7">
        <f t="shared" si="0"/>
        <v>0</v>
      </c>
      <c r="AP26" t="s">
        <v>128</v>
      </c>
    </row>
    <row r="27" spans="1:42" x14ac:dyDescent="0.25">
      <c r="A27" s="13"/>
      <c r="B27" s="33" t="s">
        <v>103</v>
      </c>
      <c r="C27" s="22" t="s">
        <v>104</v>
      </c>
      <c r="D27" s="13"/>
      <c r="E27" s="13"/>
      <c r="F27" s="39">
        <f>'Feb 2026'!AI27</f>
        <v>0</v>
      </c>
      <c r="G27" s="31"/>
      <c r="H27" s="31"/>
      <c r="I27" s="31"/>
      <c r="J27" s="31"/>
      <c r="K27" s="14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7">
        <f t="shared" si="0"/>
        <v>0</v>
      </c>
      <c r="AP27" t="s">
        <v>128</v>
      </c>
    </row>
    <row r="28" spans="1:42" x14ac:dyDescent="0.25">
      <c r="A28" s="13"/>
      <c r="B28" s="33" t="s">
        <v>105</v>
      </c>
      <c r="C28" s="22" t="s">
        <v>106</v>
      </c>
      <c r="D28" s="13"/>
      <c r="E28" s="13"/>
      <c r="F28" s="39">
        <f>'Feb 2026'!AI28</f>
        <v>0</v>
      </c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7">
        <f t="shared" si="0"/>
        <v>0</v>
      </c>
      <c r="AP28" t="s">
        <v>128</v>
      </c>
    </row>
    <row r="29" spans="1:42" x14ac:dyDescent="0.25">
      <c r="A29" s="13"/>
      <c r="B29" s="33" t="s">
        <v>107</v>
      </c>
      <c r="C29" s="22" t="s">
        <v>108</v>
      </c>
      <c r="D29" s="13"/>
      <c r="E29" s="13"/>
      <c r="F29" s="39">
        <f>'Feb 2026'!AI29</f>
        <v>0</v>
      </c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7">
        <f t="shared" si="0"/>
        <v>0</v>
      </c>
      <c r="AP29" t="s">
        <v>128</v>
      </c>
    </row>
    <row r="30" spans="1:42" ht="15.75" x14ac:dyDescent="0.25">
      <c r="A30" s="34"/>
      <c r="B30" s="32"/>
      <c r="C30" s="22" t="s">
        <v>109</v>
      </c>
      <c r="D30" s="13"/>
      <c r="E30" s="13"/>
      <c r="F30" s="39">
        <f>'Feb 2026'!AI30</f>
        <v>0</v>
      </c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7">
        <f t="shared" si="0"/>
        <v>0</v>
      </c>
      <c r="AP30" t="s">
        <v>128</v>
      </c>
    </row>
    <row r="31" spans="1:42" x14ac:dyDescent="0.25">
      <c r="A31" s="13"/>
      <c r="B31" s="33" t="s">
        <v>110</v>
      </c>
      <c r="C31" s="22" t="s">
        <v>111</v>
      </c>
      <c r="D31" s="13"/>
      <c r="E31" s="13"/>
      <c r="F31" s="39">
        <f>'Feb 2026'!AI31</f>
        <v>0</v>
      </c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7">
        <f t="shared" si="0"/>
        <v>0</v>
      </c>
      <c r="AP31" t="s">
        <v>128</v>
      </c>
    </row>
    <row r="32" spans="1:42" x14ac:dyDescent="0.25">
      <c r="A32" s="13"/>
      <c r="B32" s="22" t="s">
        <v>112</v>
      </c>
      <c r="C32" s="22" t="s">
        <v>113</v>
      </c>
      <c r="D32" s="13"/>
      <c r="E32" s="13"/>
      <c r="F32" s="39">
        <f>'Feb 2026'!AI32</f>
        <v>0</v>
      </c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7">
        <f t="shared" si="0"/>
        <v>0</v>
      </c>
      <c r="AP32" t="s">
        <v>128</v>
      </c>
    </row>
    <row r="33" spans="1:42" x14ac:dyDescent="0.25">
      <c r="A33" s="13"/>
      <c r="B33" s="22" t="s">
        <v>114</v>
      </c>
      <c r="C33" s="22" t="s">
        <v>115</v>
      </c>
      <c r="D33" s="13"/>
      <c r="E33" s="13"/>
      <c r="F33" s="39">
        <f>'Feb 2026'!AI33</f>
        <v>0</v>
      </c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7">
        <f t="shared" si="0"/>
        <v>0</v>
      </c>
      <c r="AP33" t="s">
        <v>128</v>
      </c>
    </row>
    <row r="34" spans="1:42" x14ac:dyDescent="0.25">
      <c r="A34" s="13"/>
      <c r="B34" s="22" t="s">
        <v>116</v>
      </c>
      <c r="C34" s="22" t="s">
        <v>117</v>
      </c>
      <c r="D34" s="13"/>
      <c r="E34" s="13"/>
      <c r="F34" s="39">
        <f>'Feb 2026'!AI34</f>
        <v>0</v>
      </c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7">
        <f t="shared" si="0"/>
        <v>0</v>
      </c>
      <c r="AP34" t="s">
        <v>128</v>
      </c>
    </row>
    <row r="35" spans="1:42" x14ac:dyDescent="0.25">
      <c r="A35" s="13"/>
      <c r="B35" s="22" t="s">
        <v>118</v>
      </c>
      <c r="C35" s="22" t="s">
        <v>119</v>
      </c>
      <c r="D35" s="13"/>
      <c r="E35" s="13"/>
      <c r="F35" s="39">
        <f>'Feb 2026'!AI35</f>
        <v>0</v>
      </c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7">
        <f t="shared" si="0"/>
        <v>0</v>
      </c>
      <c r="AP35" t="s">
        <v>128</v>
      </c>
    </row>
    <row r="36" spans="1:42" x14ac:dyDescent="0.25">
      <c r="A36" s="13"/>
      <c r="B36" s="22" t="s">
        <v>120</v>
      </c>
      <c r="C36" s="22" t="s">
        <v>121</v>
      </c>
      <c r="D36" s="13"/>
      <c r="E36" s="13"/>
      <c r="F36" s="39">
        <f>'Feb 2026'!AI36</f>
        <v>0</v>
      </c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7">
        <f t="shared" si="0"/>
        <v>0</v>
      </c>
      <c r="AP36" t="s">
        <v>128</v>
      </c>
    </row>
    <row r="37" spans="1:42" x14ac:dyDescent="0.25">
      <c r="A37" s="13"/>
      <c r="B37" s="22" t="s">
        <v>122</v>
      </c>
      <c r="C37" s="22" t="s">
        <v>123</v>
      </c>
      <c r="D37" s="13"/>
      <c r="E37" s="13"/>
      <c r="F37" s="39">
        <f>'Feb 2026'!AI37</f>
        <v>0</v>
      </c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7">
        <f t="shared" si="0"/>
        <v>0</v>
      </c>
      <c r="AP37" t="s">
        <v>128</v>
      </c>
    </row>
    <row r="38" spans="1:42" x14ac:dyDescent="0.25">
      <c r="A38" s="13"/>
      <c r="B38" s="13"/>
      <c r="C38" s="13"/>
      <c r="D38" s="13"/>
      <c r="E38" s="13"/>
      <c r="F38" s="36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37"/>
    </row>
    <row r="39" spans="1:42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37"/>
    </row>
    <row r="40" spans="1:42" x14ac:dyDescent="0.25">
      <c r="A40" s="3"/>
      <c r="B40" s="30"/>
      <c r="C40" s="30"/>
      <c r="D40" s="30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1"/>
      <c r="AM40" s="1"/>
      <c r="AN40" s="1"/>
      <c r="AO40" s="1"/>
    </row>
    <row r="41" spans="1:42" x14ac:dyDescent="0.25">
      <c r="A41" s="3"/>
      <c r="B41" s="30"/>
      <c r="C41" s="30"/>
      <c r="D41" s="30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1"/>
      <c r="AM41" s="1"/>
      <c r="AN41" s="1"/>
      <c r="AO41" s="1"/>
    </row>
    <row r="42" spans="1:42" ht="32.25" thickBot="1" x14ac:dyDescent="0.3">
      <c r="A42" s="1"/>
      <c r="B42" s="9" t="s">
        <v>21</v>
      </c>
      <c r="C42" s="21"/>
      <c r="D42" s="21"/>
      <c r="E42" s="11" t="s">
        <v>22</v>
      </c>
      <c r="F42" s="24" t="s">
        <v>23</v>
      </c>
      <c r="G42" s="28" t="s">
        <v>24</v>
      </c>
      <c r="H42" s="2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2" ht="16.5" thickBot="1" x14ac:dyDescent="0.3">
      <c r="A43" s="1"/>
      <c r="B43" s="9" t="s">
        <v>25</v>
      </c>
      <c r="C43" s="21"/>
      <c r="D43" s="21"/>
      <c r="E43" s="10"/>
      <c r="F43" s="23"/>
      <c r="G43" s="40"/>
      <c r="H43" s="4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2" ht="16.5" thickBot="1" x14ac:dyDescent="0.3">
      <c r="A44" s="1"/>
      <c r="B44" s="9" t="s">
        <v>26</v>
      </c>
      <c r="C44" s="21"/>
      <c r="D44" s="21"/>
      <c r="E44" s="11"/>
      <c r="F44" s="24"/>
      <c r="G44" s="42"/>
      <c r="H44" s="4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2" ht="16.5" thickBot="1" x14ac:dyDescent="0.3">
      <c r="A45" s="1"/>
      <c r="B45" s="9" t="s">
        <v>27</v>
      </c>
      <c r="C45" s="21"/>
      <c r="D45" s="21"/>
      <c r="E45" s="12"/>
      <c r="F45" s="25"/>
      <c r="G45" s="44"/>
      <c r="H45" s="4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2" ht="15.75" x14ac:dyDescent="0.25">
      <c r="A46" s="1"/>
      <c r="B46" s="46" t="s">
        <v>28</v>
      </c>
      <c r="C46" s="19"/>
      <c r="D46" s="19"/>
      <c r="E46" s="49"/>
      <c r="F46" s="52"/>
      <c r="G46" s="55"/>
      <c r="H46" s="56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2" ht="15.75" x14ac:dyDescent="0.25">
      <c r="A47" s="1"/>
      <c r="B47" s="47"/>
      <c r="C47" s="20"/>
      <c r="D47" s="20"/>
      <c r="E47" s="50"/>
      <c r="F47" s="53"/>
      <c r="G47" s="55"/>
      <c r="H47" s="56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2" ht="16.5" thickBot="1" x14ac:dyDescent="0.3">
      <c r="A48" s="1"/>
      <c r="B48" s="48"/>
      <c r="C48" s="9"/>
      <c r="D48" s="9"/>
      <c r="E48" s="51"/>
      <c r="F48" s="54"/>
      <c r="G48" s="57"/>
      <c r="H48" s="58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x14ac:dyDescent="0.25">
      <c r="A49" s="1"/>
      <c r="B49" s="2"/>
      <c r="C49" s="2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x14ac:dyDescent="0.25">
      <c r="A50" s="1"/>
      <c r="B50" s="2"/>
      <c r="C50" s="2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</sheetData>
  <autoFilter ref="A10:AO37" xr:uid="{52E8FEE7-8C48-4B84-83D1-F1745F79DC94}"/>
  <mergeCells count="24">
    <mergeCell ref="E1:Q1"/>
    <mergeCell ref="E2:Q2"/>
    <mergeCell ref="E3:Q3"/>
    <mergeCell ref="E4:Q4"/>
    <mergeCell ref="E5:G5"/>
    <mergeCell ref="H5:J5"/>
    <mergeCell ref="K5:L5"/>
    <mergeCell ref="N5:O5"/>
    <mergeCell ref="P5:Q5"/>
    <mergeCell ref="E6:G6"/>
    <mergeCell ref="H6:J6"/>
    <mergeCell ref="K6:L6"/>
    <mergeCell ref="M6:Q6"/>
    <mergeCell ref="E7:G7"/>
    <mergeCell ref="H7:J7"/>
    <mergeCell ref="K7:L7"/>
    <mergeCell ref="M7:Q7"/>
    <mergeCell ref="G43:H43"/>
    <mergeCell ref="G44:H44"/>
    <mergeCell ref="G45:H45"/>
    <mergeCell ref="B46:B48"/>
    <mergeCell ref="E46:E48"/>
    <mergeCell ref="F46:F48"/>
    <mergeCell ref="G46:H48"/>
  </mergeCells>
  <conditionalFormatting sqref="AL11:AL39">
    <cfRule type="cellIs" dxfId="5" priority="1" operator="greaterThan">
      <formula>#REF!</formula>
    </cfRule>
    <cfRule type="cellIs" dxfId="4" priority="2" operator="between">
      <formula>11</formula>
      <formula>50</formula>
    </cfRule>
    <cfRule type="cellIs" dxfId="3" priority="3" operator="lessThan">
      <formula>#REF!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2548B-5A7B-4569-B803-E89B5AAC4FF9}">
  <dimension ref="A1:AO50"/>
  <sheetViews>
    <sheetView tabSelected="1" workbookViewId="0">
      <pane xSplit="5" ySplit="10" topLeftCell="N11" activePane="bottomRight" state="frozen"/>
      <selection pane="topRight" activeCell="F1" sqref="F1"/>
      <selection pane="bottomLeft" activeCell="A11" sqref="A11"/>
      <selection pane="bottomRight" activeCell="T13" sqref="T13"/>
    </sheetView>
  </sheetViews>
  <sheetFormatPr defaultRowHeight="15" x14ac:dyDescent="0.25"/>
  <cols>
    <col min="2" max="2" width="13.42578125" bestFit="1" customWidth="1"/>
    <col min="3" max="3" width="48.140625" bestFit="1" customWidth="1"/>
  </cols>
  <sheetData>
    <row r="1" spans="1:41" ht="22.5" x14ac:dyDescent="0.25">
      <c r="E1" s="64" t="s">
        <v>29</v>
      </c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</row>
    <row r="2" spans="1:41" x14ac:dyDescent="0.25">
      <c r="E2" s="65" t="s">
        <v>30</v>
      </c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7"/>
    </row>
    <row r="3" spans="1:41" ht="15.75" x14ac:dyDescent="0.25">
      <c r="E3" s="68" t="s">
        <v>0</v>
      </c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</row>
    <row r="4" spans="1:41" x14ac:dyDescent="0.25">
      <c r="E4" s="69" t="s">
        <v>1</v>
      </c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</row>
    <row r="5" spans="1:41" ht="15.75" x14ac:dyDescent="0.25">
      <c r="E5" s="59" t="s">
        <v>2</v>
      </c>
      <c r="F5" s="59"/>
      <c r="G5" s="59"/>
      <c r="H5" s="70" t="s">
        <v>3</v>
      </c>
      <c r="I5" s="71"/>
      <c r="J5" s="72"/>
      <c r="K5" s="61" t="s">
        <v>4</v>
      </c>
      <c r="L5" s="61"/>
      <c r="M5" s="13">
        <v>0</v>
      </c>
      <c r="N5" s="73" t="s">
        <v>5</v>
      </c>
      <c r="O5" s="73"/>
      <c r="P5" s="74"/>
      <c r="Q5" s="75"/>
    </row>
    <row r="6" spans="1:41" ht="15.75" x14ac:dyDescent="0.25">
      <c r="E6" s="59" t="s">
        <v>6</v>
      </c>
      <c r="F6" s="59"/>
      <c r="G6" s="59"/>
      <c r="H6" s="60" t="s">
        <v>7</v>
      </c>
      <c r="I6" s="60"/>
      <c r="J6" s="60"/>
      <c r="K6" s="61" t="s">
        <v>8</v>
      </c>
      <c r="L6" s="61"/>
      <c r="M6" s="62" t="s">
        <v>9</v>
      </c>
      <c r="N6" s="62"/>
      <c r="O6" s="62"/>
      <c r="P6" s="62"/>
      <c r="Q6" s="62"/>
    </row>
    <row r="7" spans="1:41" ht="15.75" x14ac:dyDescent="0.25">
      <c r="E7" s="61" t="s">
        <v>10</v>
      </c>
      <c r="F7" s="61"/>
      <c r="G7" s="61"/>
      <c r="H7" s="63"/>
      <c r="I7" s="63"/>
      <c r="J7" s="63"/>
      <c r="K7" s="61" t="s">
        <v>11</v>
      </c>
      <c r="L7" s="61"/>
      <c r="M7" s="62"/>
      <c r="N7" s="62"/>
      <c r="O7" s="62"/>
      <c r="P7" s="62"/>
      <c r="Q7" s="62"/>
    </row>
    <row r="9" spans="1:41" x14ac:dyDescent="0.25">
      <c r="A9" t="s">
        <v>12</v>
      </c>
    </row>
    <row r="10" spans="1:41" ht="26.25" x14ac:dyDescent="0.25">
      <c r="A10" s="26" t="s">
        <v>13</v>
      </c>
      <c r="B10" s="6" t="s">
        <v>14</v>
      </c>
      <c r="C10" s="6" t="s">
        <v>15</v>
      </c>
      <c r="D10" s="6" t="s">
        <v>16</v>
      </c>
      <c r="E10" s="7" t="s">
        <v>17</v>
      </c>
      <c r="F10" s="15" t="s">
        <v>126</v>
      </c>
      <c r="G10" s="35">
        <v>46113</v>
      </c>
      <c r="H10" s="35">
        <v>46114</v>
      </c>
      <c r="I10" s="35">
        <v>46115</v>
      </c>
      <c r="J10" s="35">
        <v>46116</v>
      </c>
      <c r="K10" s="35">
        <v>46117</v>
      </c>
      <c r="L10" s="35">
        <v>46118</v>
      </c>
      <c r="M10" s="35">
        <v>46119</v>
      </c>
      <c r="N10" s="35">
        <v>46120</v>
      </c>
      <c r="O10" s="35">
        <v>46121</v>
      </c>
      <c r="P10" s="35">
        <v>46122</v>
      </c>
      <c r="Q10" s="35">
        <v>46123</v>
      </c>
      <c r="R10" s="35">
        <v>46124</v>
      </c>
      <c r="S10" s="35">
        <v>46125</v>
      </c>
      <c r="T10" s="35">
        <v>46126</v>
      </c>
      <c r="U10" s="35">
        <v>46127</v>
      </c>
      <c r="V10" s="35">
        <v>46128</v>
      </c>
      <c r="W10" s="35">
        <v>46129</v>
      </c>
      <c r="X10" s="35">
        <v>46130</v>
      </c>
      <c r="Y10" s="35">
        <v>46131</v>
      </c>
      <c r="Z10" s="35">
        <v>46132</v>
      </c>
      <c r="AA10" s="35">
        <v>46133</v>
      </c>
      <c r="AB10" s="35">
        <v>46134</v>
      </c>
      <c r="AC10" s="35">
        <v>46135</v>
      </c>
      <c r="AD10" s="35">
        <v>46136</v>
      </c>
      <c r="AE10" s="35">
        <v>46137</v>
      </c>
      <c r="AF10" s="35">
        <v>46138</v>
      </c>
      <c r="AG10" s="35">
        <v>46139</v>
      </c>
      <c r="AH10" s="35">
        <v>46140</v>
      </c>
      <c r="AI10" s="35">
        <v>46141</v>
      </c>
      <c r="AJ10" s="35">
        <v>46142</v>
      </c>
      <c r="AK10" s="15" t="s">
        <v>127</v>
      </c>
      <c r="AL10" s="5" t="s">
        <v>18</v>
      </c>
      <c r="AM10" s="5" t="s">
        <v>19</v>
      </c>
      <c r="AN10" s="5" t="s">
        <v>20</v>
      </c>
    </row>
    <row r="11" spans="1:41" x14ac:dyDescent="0.25">
      <c r="A11" s="13"/>
      <c r="B11" s="33" t="s">
        <v>73</v>
      </c>
      <c r="C11" s="22" t="s">
        <v>74</v>
      </c>
      <c r="D11" s="13"/>
      <c r="E11" s="3"/>
      <c r="F11" s="39">
        <f>'March 2026'!AL11</f>
        <v>0</v>
      </c>
      <c r="G11" s="31"/>
      <c r="H11" s="31"/>
      <c r="I11" s="31"/>
      <c r="J11" s="31"/>
      <c r="K11" s="31"/>
      <c r="M11" s="31"/>
      <c r="N11" s="31"/>
      <c r="O11" s="31"/>
      <c r="P11" s="31"/>
      <c r="Q11" s="31"/>
      <c r="R11" s="31"/>
      <c r="S11" s="31"/>
      <c r="T11" s="14">
        <v>3</v>
      </c>
      <c r="U11" s="31"/>
      <c r="V11" s="31"/>
      <c r="W11" s="14"/>
      <c r="X11" s="31"/>
      <c r="Y11" s="31"/>
      <c r="Z11" s="31"/>
      <c r="AA11" s="31"/>
      <c r="AB11" s="14"/>
      <c r="AC11" s="31"/>
      <c r="AD11" s="31"/>
      <c r="AE11" s="31"/>
      <c r="AF11" s="31"/>
      <c r="AG11" s="31"/>
      <c r="AH11" s="31"/>
      <c r="AI11" s="31"/>
      <c r="AJ11" s="31"/>
      <c r="AK11" s="37">
        <f t="shared" ref="AK11:AK37" si="0">F11+SUM(G11:AJ11)</f>
        <v>3</v>
      </c>
      <c r="AO11" t="s">
        <v>128</v>
      </c>
    </row>
    <row r="12" spans="1:41" x14ac:dyDescent="0.25">
      <c r="A12" s="13"/>
      <c r="B12" s="33" t="s">
        <v>75</v>
      </c>
      <c r="C12" s="22" t="s">
        <v>76</v>
      </c>
      <c r="D12" s="13"/>
      <c r="E12" s="3"/>
      <c r="F12" s="39">
        <f>'March 2026'!AL12</f>
        <v>0</v>
      </c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7">
        <f t="shared" si="0"/>
        <v>0</v>
      </c>
      <c r="AO12" t="s">
        <v>128</v>
      </c>
    </row>
    <row r="13" spans="1:41" x14ac:dyDescent="0.25">
      <c r="A13" s="13" t="s">
        <v>124</v>
      </c>
      <c r="B13" s="33" t="s">
        <v>77</v>
      </c>
      <c r="C13" s="22" t="s">
        <v>78</v>
      </c>
      <c r="D13" s="13"/>
      <c r="E13" s="3"/>
      <c r="F13" s="39">
        <f>'March 2026'!AL13</f>
        <v>30</v>
      </c>
      <c r="G13" s="31"/>
      <c r="H13">
        <v>-1</v>
      </c>
      <c r="I13" s="31"/>
      <c r="J13" s="31"/>
      <c r="K13" s="31"/>
      <c r="L13" s="14"/>
      <c r="M13" s="31">
        <v>-2</v>
      </c>
      <c r="N13" s="31"/>
      <c r="O13" s="31"/>
      <c r="P13" s="31">
        <v>-1</v>
      </c>
      <c r="Q13" s="31"/>
      <c r="R13" s="31"/>
      <c r="S13" s="31">
        <v>-12</v>
      </c>
      <c r="T13" s="14">
        <v>3</v>
      </c>
      <c r="U13" s="31"/>
      <c r="V13" s="31"/>
      <c r="W13" s="31"/>
      <c r="X13" s="31"/>
      <c r="Y13" s="31"/>
      <c r="Z13" s="14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7">
        <f t="shared" si="0"/>
        <v>17</v>
      </c>
      <c r="AL13">
        <v>5</v>
      </c>
      <c r="AM13">
        <v>10</v>
      </c>
      <c r="AN13">
        <v>25</v>
      </c>
    </row>
    <row r="14" spans="1:41" x14ac:dyDescent="0.25">
      <c r="A14" s="13"/>
      <c r="B14" s="33" t="s">
        <v>79</v>
      </c>
      <c r="C14" s="22" t="s">
        <v>80</v>
      </c>
      <c r="D14" s="13"/>
      <c r="E14" s="3"/>
      <c r="F14" s="39">
        <f>'March 2026'!AL14</f>
        <v>0</v>
      </c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7">
        <f t="shared" si="0"/>
        <v>0</v>
      </c>
      <c r="AO14" t="s">
        <v>128</v>
      </c>
    </row>
    <row r="15" spans="1:41" x14ac:dyDescent="0.25">
      <c r="A15" s="13"/>
      <c r="B15" s="33" t="s">
        <v>81</v>
      </c>
      <c r="C15" s="22" t="s">
        <v>82</v>
      </c>
      <c r="D15" s="13"/>
      <c r="E15" s="3"/>
      <c r="F15" s="39">
        <f>'March 2026'!AL15</f>
        <v>0</v>
      </c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7">
        <f t="shared" si="0"/>
        <v>0</v>
      </c>
      <c r="AO15" t="s">
        <v>128</v>
      </c>
    </row>
    <row r="16" spans="1:41" x14ac:dyDescent="0.25">
      <c r="A16" s="13" t="s">
        <v>124</v>
      </c>
      <c r="B16" s="33" t="s">
        <v>83</v>
      </c>
      <c r="C16" s="22" t="s">
        <v>84</v>
      </c>
      <c r="D16" s="13"/>
      <c r="E16" s="3"/>
      <c r="F16" s="39">
        <f>'March 2026'!AL16</f>
        <v>34</v>
      </c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7">
        <f t="shared" si="0"/>
        <v>34</v>
      </c>
      <c r="AO16" t="s">
        <v>128</v>
      </c>
    </row>
    <row r="17" spans="1:41" x14ac:dyDescent="0.25">
      <c r="A17" s="13"/>
      <c r="B17" s="33" t="s">
        <v>85</v>
      </c>
      <c r="C17" s="22" t="s">
        <v>86</v>
      </c>
      <c r="D17" s="13"/>
      <c r="E17" s="3"/>
      <c r="F17" s="39">
        <f>'March 2026'!AL17</f>
        <v>0</v>
      </c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7">
        <f t="shared" si="0"/>
        <v>0</v>
      </c>
      <c r="AO17" t="s">
        <v>128</v>
      </c>
    </row>
    <row r="18" spans="1:41" x14ac:dyDescent="0.25">
      <c r="A18" s="13"/>
      <c r="B18" s="33" t="s">
        <v>87</v>
      </c>
      <c r="C18" s="22" t="s">
        <v>88</v>
      </c>
      <c r="D18" s="13"/>
      <c r="E18" s="3"/>
      <c r="F18" s="39">
        <f>'March 2026'!AL18</f>
        <v>0</v>
      </c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7">
        <f t="shared" si="0"/>
        <v>0</v>
      </c>
      <c r="AO18" t="s">
        <v>128</v>
      </c>
    </row>
    <row r="19" spans="1:41" x14ac:dyDescent="0.25">
      <c r="A19" s="13"/>
      <c r="B19" s="33" t="s">
        <v>89</v>
      </c>
      <c r="C19" s="22" t="s">
        <v>90</v>
      </c>
      <c r="D19" s="13"/>
      <c r="E19" s="3"/>
      <c r="F19" s="39">
        <f>'March 2026'!AL19</f>
        <v>0</v>
      </c>
      <c r="G19" s="31"/>
      <c r="H19" s="31"/>
      <c r="I19" s="31"/>
      <c r="J19" s="31"/>
      <c r="K19" s="14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7">
        <f t="shared" si="0"/>
        <v>0</v>
      </c>
      <c r="AO19" t="s">
        <v>128</v>
      </c>
    </row>
    <row r="20" spans="1:41" x14ac:dyDescent="0.25">
      <c r="A20" s="13"/>
      <c r="B20" s="33" t="s">
        <v>91</v>
      </c>
      <c r="C20" s="22" t="s">
        <v>92</v>
      </c>
      <c r="D20" s="13"/>
      <c r="E20" s="3"/>
      <c r="F20" s="39">
        <f>'March 2026'!AL20</f>
        <v>0</v>
      </c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14"/>
      <c r="AI20" s="31"/>
      <c r="AJ20" s="31"/>
      <c r="AK20" s="37">
        <f t="shared" si="0"/>
        <v>0</v>
      </c>
      <c r="AO20" t="s">
        <v>128</v>
      </c>
    </row>
    <row r="21" spans="1:41" x14ac:dyDescent="0.25">
      <c r="A21" s="13" t="s">
        <v>124</v>
      </c>
      <c r="B21" s="33" t="s">
        <v>91</v>
      </c>
      <c r="C21" s="22" t="s">
        <v>93</v>
      </c>
      <c r="D21" s="13"/>
      <c r="E21" s="3"/>
      <c r="F21" s="39">
        <f>'March 2026'!AL21</f>
        <v>-1</v>
      </c>
      <c r="G21" s="31"/>
      <c r="H21" s="31"/>
      <c r="J21" s="31"/>
      <c r="K21" s="31"/>
      <c r="L21" s="31"/>
      <c r="M21" s="31"/>
      <c r="N21" s="31"/>
      <c r="O21" s="31"/>
      <c r="P21" s="31"/>
      <c r="Q21" s="14"/>
      <c r="R21" s="31"/>
      <c r="S21" s="31"/>
      <c r="T21" s="38"/>
      <c r="U21" s="31"/>
      <c r="V21" s="14"/>
      <c r="W21" s="14">
        <v>3</v>
      </c>
      <c r="X21" s="31"/>
      <c r="Y21" s="14"/>
      <c r="Z21" s="31"/>
      <c r="AA21" s="31"/>
      <c r="AB21" s="31"/>
      <c r="AC21" s="14"/>
      <c r="AD21" s="31"/>
      <c r="AE21" s="31"/>
      <c r="AF21" s="31"/>
      <c r="AG21" s="31"/>
      <c r="AH21" s="14"/>
      <c r="AI21" s="31"/>
      <c r="AJ21" s="31"/>
      <c r="AK21" s="37">
        <f t="shared" si="0"/>
        <v>2</v>
      </c>
      <c r="AO21" t="s">
        <v>128</v>
      </c>
    </row>
    <row r="22" spans="1:41" x14ac:dyDescent="0.25">
      <c r="A22" s="13" t="s">
        <v>125</v>
      </c>
      <c r="B22" s="33" t="s">
        <v>94</v>
      </c>
      <c r="C22" s="22" t="s">
        <v>95</v>
      </c>
      <c r="D22" s="13"/>
      <c r="E22" s="3"/>
      <c r="F22" s="39">
        <f>'March 2026'!AL22</f>
        <v>4</v>
      </c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14"/>
      <c r="AI22" s="31"/>
      <c r="AJ22" s="31"/>
      <c r="AK22" s="37">
        <f t="shared" si="0"/>
        <v>4</v>
      </c>
      <c r="AO22" t="s">
        <v>128</v>
      </c>
    </row>
    <row r="23" spans="1:41" x14ac:dyDescent="0.25">
      <c r="A23" s="13" t="s">
        <v>125</v>
      </c>
      <c r="B23" s="33" t="s">
        <v>96</v>
      </c>
      <c r="C23" s="22" t="s">
        <v>97</v>
      </c>
      <c r="D23" s="13"/>
      <c r="E23" s="3"/>
      <c r="F23" s="39">
        <f>'March 2026'!AL23</f>
        <v>-11</v>
      </c>
      <c r="G23" s="31">
        <v>-15</v>
      </c>
      <c r="H23" s="14">
        <v>5</v>
      </c>
      <c r="I23" s="31">
        <f>-1+-1</f>
        <v>-2</v>
      </c>
      <c r="J23" s="31"/>
      <c r="K23" s="14"/>
      <c r="L23" s="31"/>
      <c r="M23" s="14"/>
      <c r="N23">
        <v>-4</v>
      </c>
      <c r="O23" s="14"/>
      <c r="P23" s="31"/>
      <c r="Q23" s="31"/>
      <c r="R23" s="14"/>
      <c r="S23" s="31"/>
      <c r="T23" s="14"/>
      <c r="U23" s="31"/>
      <c r="V23" s="31"/>
      <c r="W23" s="31"/>
      <c r="X23" s="31"/>
      <c r="Y23" s="31"/>
      <c r="Z23" s="31"/>
      <c r="AA23" s="14"/>
      <c r="AB23" s="31"/>
      <c r="AC23" s="31"/>
      <c r="AD23" s="31"/>
      <c r="AE23" s="31"/>
      <c r="AF23" s="31"/>
      <c r="AG23" s="31"/>
      <c r="AH23" s="31"/>
      <c r="AI23" s="14"/>
      <c r="AJ23" s="31"/>
      <c r="AK23" s="37">
        <f t="shared" si="0"/>
        <v>-27</v>
      </c>
      <c r="AL23">
        <v>5</v>
      </c>
      <c r="AM23">
        <v>10</v>
      </c>
      <c r="AN23">
        <v>15</v>
      </c>
    </row>
    <row r="24" spans="1:41" x14ac:dyDescent="0.25">
      <c r="A24" s="13" t="s">
        <v>125</v>
      </c>
      <c r="C24" s="22" t="s">
        <v>98</v>
      </c>
      <c r="D24" s="13"/>
      <c r="E24" s="3"/>
      <c r="F24" s="39">
        <f>'March 2026'!AL24</f>
        <v>2</v>
      </c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7">
        <f t="shared" si="0"/>
        <v>2</v>
      </c>
      <c r="AO24" t="s">
        <v>128</v>
      </c>
    </row>
    <row r="25" spans="1:41" x14ac:dyDescent="0.25">
      <c r="A25" s="13"/>
      <c r="B25" s="33" t="s">
        <v>99</v>
      </c>
      <c r="C25" s="22" t="s">
        <v>100</v>
      </c>
      <c r="D25" s="13"/>
      <c r="E25" s="13"/>
      <c r="F25" s="39">
        <f>'March 2026'!AL25</f>
        <v>0</v>
      </c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7">
        <f t="shared" si="0"/>
        <v>0</v>
      </c>
      <c r="AO25" t="s">
        <v>128</v>
      </c>
    </row>
    <row r="26" spans="1:41" x14ac:dyDescent="0.25">
      <c r="A26" s="13"/>
      <c r="B26" s="33" t="s">
        <v>101</v>
      </c>
      <c r="C26" s="22" t="s">
        <v>102</v>
      </c>
      <c r="D26" s="13"/>
      <c r="E26" s="13"/>
      <c r="F26" s="39">
        <f>'March 2026'!AL26</f>
        <v>0</v>
      </c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7">
        <f t="shared" si="0"/>
        <v>0</v>
      </c>
      <c r="AO26" t="s">
        <v>128</v>
      </c>
    </row>
    <row r="27" spans="1:41" x14ac:dyDescent="0.25">
      <c r="A27" s="13"/>
      <c r="B27" s="33" t="s">
        <v>103</v>
      </c>
      <c r="C27" s="22" t="s">
        <v>104</v>
      </c>
      <c r="D27" s="13"/>
      <c r="E27" s="13"/>
      <c r="F27" s="39">
        <f>'March 2026'!AL27</f>
        <v>0</v>
      </c>
      <c r="G27" s="31"/>
      <c r="H27" s="31"/>
      <c r="I27" s="31"/>
      <c r="J27" s="31"/>
      <c r="K27" s="14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7">
        <f t="shared" si="0"/>
        <v>0</v>
      </c>
      <c r="AO27" t="s">
        <v>128</v>
      </c>
    </row>
    <row r="28" spans="1:41" x14ac:dyDescent="0.25">
      <c r="A28" s="13"/>
      <c r="B28" s="33" t="s">
        <v>105</v>
      </c>
      <c r="C28" s="22" t="s">
        <v>106</v>
      </c>
      <c r="D28" s="13"/>
      <c r="E28" s="13"/>
      <c r="F28" s="39">
        <f>'March 2026'!AL28</f>
        <v>0</v>
      </c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7">
        <f t="shared" si="0"/>
        <v>0</v>
      </c>
      <c r="AO28" t="s">
        <v>128</v>
      </c>
    </row>
    <row r="29" spans="1:41" x14ac:dyDescent="0.25">
      <c r="A29" s="13"/>
      <c r="B29" s="33" t="s">
        <v>107</v>
      </c>
      <c r="C29" s="22" t="s">
        <v>108</v>
      </c>
      <c r="D29" s="13"/>
      <c r="E29" s="13"/>
      <c r="F29" s="39">
        <f>'March 2026'!AL29</f>
        <v>0</v>
      </c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7">
        <f t="shared" si="0"/>
        <v>0</v>
      </c>
      <c r="AO29" t="s">
        <v>128</v>
      </c>
    </row>
    <row r="30" spans="1:41" ht="15.75" x14ac:dyDescent="0.25">
      <c r="A30" s="34"/>
      <c r="B30" s="32"/>
      <c r="C30" s="22" t="s">
        <v>109</v>
      </c>
      <c r="D30" s="13"/>
      <c r="E30" s="13"/>
      <c r="F30" s="39">
        <f>'March 2026'!AL30</f>
        <v>0</v>
      </c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7">
        <f t="shared" si="0"/>
        <v>0</v>
      </c>
      <c r="AO30" t="s">
        <v>128</v>
      </c>
    </row>
    <row r="31" spans="1:41" x14ac:dyDescent="0.25">
      <c r="A31" s="13"/>
      <c r="B31" s="33" t="s">
        <v>110</v>
      </c>
      <c r="C31" s="22" t="s">
        <v>111</v>
      </c>
      <c r="D31" s="13"/>
      <c r="E31" s="13"/>
      <c r="F31" s="39">
        <f>'March 2026'!AL31</f>
        <v>0</v>
      </c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7">
        <f t="shared" si="0"/>
        <v>0</v>
      </c>
      <c r="AO31" t="s">
        <v>128</v>
      </c>
    </row>
    <row r="32" spans="1:41" x14ac:dyDescent="0.25">
      <c r="A32" s="13"/>
      <c r="B32" s="22" t="s">
        <v>112</v>
      </c>
      <c r="C32" s="22" t="s">
        <v>113</v>
      </c>
      <c r="D32" s="13"/>
      <c r="E32" s="13"/>
      <c r="F32" s="39">
        <f>'March 2026'!AL32</f>
        <v>0</v>
      </c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7">
        <f t="shared" si="0"/>
        <v>0</v>
      </c>
      <c r="AO32" t="s">
        <v>128</v>
      </c>
    </row>
    <row r="33" spans="1:41" x14ac:dyDescent="0.25">
      <c r="A33" s="13"/>
      <c r="B33" s="22" t="s">
        <v>114</v>
      </c>
      <c r="C33" s="22" t="s">
        <v>115</v>
      </c>
      <c r="D33" s="13"/>
      <c r="E33" s="13"/>
      <c r="F33" s="39">
        <f>'March 2026'!AL33</f>
        <v>0</v>
      </c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7">
        <f t="shared" si="0"/>
        <v>0</v>
      </c>
      <c r="AO33" t="s">
        <v>128</v>
      </c>
    </row>
    <row r="34" spans="1:41" x14ac:dyDescent="0.25">
      <c r="A34" s="13"/>
      <c r="B34" s="22" t="s">
        <v>116</v>
      </c>
      <c r="C34" s="22" t="s">
        <v>117</v>
      </c>
      <c r="D34" s="13"/>
      <c r="E34" s="13"/>
      <c r="F34" s="39">
        <f>'March 2026'!AL34</f>
        <v>0</v>
      </c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7">
        <f t="shared" si="0"/>
        <v>0</v>
      </c>
      <c r="AO34" t="s">
        <v>128</v>
      </c>
    </row>
    <row r="35" spans="1:41" x14ac:dyDescent="0.25">
      <c r="A35" s="13"/>
      <c r="B35" s="22" t="s">
        <v>118</v>
      </c>
      <c r="C35" s="22" t="s">
        <v>119</v>
      </c>
      <c r="D35" s="13"/>
      <c r="E35" s="13"/>
      <c r="F35" s="39">
        <f>'March 2026'!AL35</f>
        <v>0</v>
      </c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7">
        <f t="shared" si="0"/>
        <v>0</v>
      </c>
      <c r="AO35" t="s">
        <v>128</v>
      </c>
    </row>
    <row r="36" spans="1:41" x14ac:dyDescent="0.25">
      <c r="A36" s="13"/>
      <c r="B36" s="22" t="s">
        <v>120</v>
      </c>
      <c r="C36" s="22" t="s">
        <v>121</v>
      </c>
      <c r="D36" s="13"/>
      <c r="E36" s="13"/>
      <c r="F36" s="39">
        <f>'March 2026'!AL36</f>
        <v>0</v>
      </c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7">
        <f t="shared" si="0"/>
        <v>0</v>
      </c>
      <c r="AO36" t="s">
        <v>128</v>
      </c>
    </row>
    <row r="37" spans="1:41" x14ac:dyDescent="0.25">
      <c r="A37" s="13"/>
      <c r="B37" s="22" t="s">
        <v>122</v>
      </c>
      <c r="C37" s="22" t="s">
        <v>123</v>
      </c>
      <c r="D37" s="13"/>
      <c r="E37" s="13"/>
      <c r="F37" s="39">
        <f>'March 2026'!AL37</f>
        <v>0</v>
      </c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7">
        <f t="shared" si="0"/>
        <v>0</v>
      </c>
      <c r="AO37" t="s">
        <v>128</v>
      </c>
    </row>
    <row r="38" spans="1:41" x14ac:dyDescent="0.25">
      <c r="A38" s="13"/>
      <c r="B38" s="13"/>
      <c r="C38" s="13"/>
      <c r="D38" s="13"/>
      <c r="E38" s="13"/>
      <c r="F38" s="36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37"/>
    </row>
    <row r="39" spans="1:41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37"/>
    </row>
    <row r="40" spans="1:41" x14ac:dyDescent="0.25">
      <c r="A40" s="3"/>
      <c r="B40" s="30"/>
      <c r="C40" s="30"/>
      <c r="D40" s="30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1"/>
      <c r="AL40" s="1"/>
      <c r="AM40" s="1"/>
      <c r="AN40" s="1"/>
    </row>
    <row r="41" spans="1:41" x14ac:dyDescent="0.25">
      <c r="A41" s="3"/>
      <c r="B41" s="30"/>
      <c r="C41" s="30"/>
      <c r="D41" s="30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1"/>
      <c r="AL41" s="1"/>
      <c r="AM41" s="1"/>
      <c r="AN41" s="1"/>
    </row>
    <row r="42" spans="1:41" ht="32.25" thickBot="1" x14ac:dyDescent="0.3">
      <c r="A42" s="1"/>
      <c r="B42" s="9" t="s">
        <v>21</v>
      </c>
      <c r="C42" s="21"/>
      <c r="D42" s="21"/>
      <c r="E42" s="11" t="s">
        <v>22</v>
      </c>
      <c r="F42" s="24" t="s">
        <v>23</v>
      </c>
      <c r="G42" s="28" t="s">
        <v>24</v>
      </c>
      <c r="H42" s="2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1" ht="16.5" thickBot="1" x14ac:dyDescent="0.3">
      <c r="A43" s="1"/>
      <c r="B43" s="9" t="s">
        <v>25</v>
      </c>
      <c r="C43" s="21"/>
      <c r="D43" s="21"/>
      <c r="E43" s="10"/>
      <c r="F43" s="23"/>
      <c r="G43" s="40"/>
      <c r="H43" s="4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1" ht="16.5" thickBot="1" x14ac:dyDescent="0.3">
      <c r="A44" s="1"/>
      <c r="B44" s="9" t="s">
        <v>26</v>
      </c>
      <c r="C44" s="21"/>
      <c r="D44" s="21"/>
      <c r="E44" s="11"/>
      <c r="F44" s="24"/>
      <c r="G44" s="42"/>
      <c r="H44" s="4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1" ht="16.5" thickBot="1" x14ac:dyDescent="0.3">
      <c r="A45" s="1"/>
      <c r="B45" s="9" t="s">
        <v>27</v>
      </c>
      <c r="C45" s="21"/>
      <c r="D45" s="21"/>
      <c r="E45" s="12"/>
      <c r="F45" s="25"/>
      <c r="G45" s="44"/>
      <c r="H45" s="4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1" ht="15.75" x14ac:dyDescent="0.25">
      <c r="A46" s="1"/>
      <c r="B46" s="46" t="s">
        <v>28</v>
      </c>
      <c r="C46" s="19"/>
      <c r="D46" s="19"/>
      <c r="E46" s="49"/>
      <c r="F46" s="52"/>
      <c r="G46" s="55"/>
      <c r="H46" s="56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1" ht="15.75" x14ac:dyDescent="0.25">
      <c r="A47" s="1"/>
      <c r="B47" s="47"/>
      <c r="C47" s="20"/>
      <c r="D47" s="20"/>
      <c r="E47" s="50"/>
      <c r="F47" s="53"/>
      <c r="G47" s="55"/>
      <c r="H47" s="56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1" ht="16.5" thickBot="1" x14ac:dyDescent="0.3">
      <c r="A48" s="1"/>
      <c r="B48" s="48"/>
      <c r="C48" s="9"/>
      <c r="D48" s="9"/>
      <c r="E48" s="51"/>
      <c r="F48" s="54"/>
      <c r="G48" s="57"/>
      <c r="H48" s="58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x14ac:dyDescent="0.25">
      <c r="A49" s="1"/>
      <c r="B49" s="2"/>
      <c r="C49" s="2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x14ac:dyDescent="0.25">
      <c r="A50" s="1"/>
      <c r="B50" s="2"/>
      <c r="C50" s="2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</sheetData>
  <mergeCells count="24">
    <mergeCell ref="G43:H43"/>
    <mergeCell ref="G44:H44"/>
    <mergeCell ref="G45:H45"/>
    <mergeCell ref="B46:B48"/>
    <mergeCell ref="E46:E48"/>
    <mergeCell ref="F46:F48"/>
    <mergeCell ref="G46:H48"/>
    <mergeCell ref="E6:G6"/>
    <mergeCell ref="H6:J6"/>
    <mergeCell ref="K6:L6"/>
    <mergeCell ref="M6:Q6"/>
    <mergeCell ref="E7:G7"/>
    <mergeCell ref="H7:J7"/>
    <mergeCell ref="K7:L7"/>
    <mergeCell ref="M7:Q7"/>
    <mergeCell ref="E1:Q1"/>
    <mergeCell ref="E2:Q2"/>
    <mergeCell ref="E3:Q3"/>
    <mergeCell ref="E4:Q4"/>
    <mergeCell ref="E5:G5"/>
    <mergeCell ref="H5:J5"/>
    <mergeCell ref="K5:L5"/>
    <mergeCell ref="N5:O5"/>
    <mergeCell ref="P5:Q5"/>
  </mergeCells>
  <conditionalFormatting sqref="AK11:AK39">
    <cfRule type="cellIs" dxfId="2" priority="1" operator="greaterThan">
      <formula>#REF!</formula>
    </cfRule>
    <cfRule type="cellIs" dxfId="1" priority="2" operator="between">
      <formula>11</formula>
      <formula>50</formula>
    </cfRule>
    <cfRule type="cellIs" dxfId="0" priority="3" operator="lessThan">
      <formula>#REF!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Jan 2026</vt:lpstr>
      <vt:lpstr>Feb 2026</vt:lpstr>
      <vt:lpstr>March 2026</vt:lpstr>
      <vt:lpstr>April 2026</vt:lpstr>
      <vt:lpstr>'Jan 2026'!_Hlk122640495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2026-04-18T07:03:14Z</dcterms:modified>
  <cp:category/>
  <cp:contentStatus/>
</cp:coreProperties>
</file>