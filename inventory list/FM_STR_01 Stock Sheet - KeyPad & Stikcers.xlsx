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62DBDF0A-74B0-4AF5-8C2B-7A5E28328569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7" r:id="rId3"/>
    <sheet name="April 2026" sheetId="8" r:id="rId4"/>
  </sheets>
  <definedNames>
    <definedName name="_xlnm._FilterDatabase" localSheetId="3" hidden="1">'April 2026'!$A$10:$AN$88</definedName>
    <definedName name="_xlnm._FilterDatabase" localSheetId="1" hidden="1">'Feb 2026'!$A$10:$AL$98</definedName>
    <definedName name="_xlnm._FilterDatabase" localSheetId="0" hidden="1">'Jan 2026'!$A$10:$AO$85</definedName>
    <definedName name="_xlnm._FilterDatabase" localSheetId="2" hidden="1">'March 2026'!$A$10:$AO$88</definedName>
    <definedName name="_Hlk122640495" localSheetId="0">'Jan 2026'!$B$92</definedName>
    <definedName name="_Hlk126512593" localSheetId="0">'Jan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8" i="8" l="1"/>
  <c r="AK87" i="8"/>
  <c r="AK86" i="8"/>
  <c r="AK85" i="8"/>
  <c r="F85" i="8"/>
  <c r="F84" i="8"/>
  <c r="AK84" i="8" s="1"/>
  <c r="F83" i="8"/>
  <c r="AK83" i="8" s="1"/>
  <c r="F82" i="8"/>
  <c r="AK82" i="8" s="1"/>
  <c r="F81" i="8"/>
  <c r="AK81" i="8" s="1"/>
  <c r="F80" i="8"/>
  <c r="F79" i="8"/>
  <c r="AK79" i="8" s="1"/>
  <c r="F78" i="8"/>
  <c r="AK78" i="8" s="1"/>
  <c r="F77" i="8"/>
  <c r="AK77" i="8" s="1"/>
  <c r="F76" i="8"/>
  <c r="F75" i="8"/>
  <c r="AK75" i="8" s="1"/>
  <c r="F74" i="8"/>
  <c r="AK74" i="8" s="1"/>
  <c r="F73" i="8"/>
  <c r="AK73" i="8" s="1"/>
  <c r="F72" i="8"/>
  <c r="AK72" i="8" s="1"/>
  <c r="F71" i="8"/>
  <c r="AK71" i="8" s="1"/>
  <c r="AK70" i="8"/>
  <c r="F70" i="8"/>
  <c r="F69" i="8"/>
  <c r="AK69" i="8" s="1"/>
  <c r="F68" i="8"/>
  <c r="AK68" i="8" s="1"/>
  <c r="F67" i="8"/>
  <c r="AK67" i="8" s="1"/>
  <c r="F66" i="8"/>
  <c r="AK66" i="8" s="1"/>
  <c r="F65" i="8"/>
  <c r="AK65" i="8" s="1"/>
  <c r="F64" i="8"/>
  <c r="AK64" i="8" s="1"/>
  <c r="F63" i="8"/>
  <c r="AK63" i="8" s="1"/>
  <c r="AK62" i="8"/>
  <c r="F62" i="8"/>
  <c r="F61" i="8"/>
  <c r="AK61" i="8" s="1"/>
  <c r="F60" i="8"/>
  <c r="AK60" i="8" s="1"/>
  <c r="F59" i="8"/>
  <c r="AK59" i="8" s="1"/>
  <c r="F58" i="8"/>
  <c r="AK58" i="8" s="1"/>
  <c r="F57" i="8"/>
  <c r="AK57" i="8" s="1"/>
  <c r="F56" i="8"/>
  <c r="AK56" i="8" s="1"/>
  <c r="F55" i="8"/>
  <c r="AK55" i="8" s="1"/>
  <c r="AK54" i="8"/>
  <c r="F54" i="8"/>
  <c r="F53" i="8"/>
  <c r="AK53" i="8" s="1"/>
  <c r="F52" i="8"/>
  <c r="AK52" i="8" s="1"/>
  <c r="F51" i="8"/>
  <c r="AK51" i="8" s="1"/>
  <c r="F50" i="8"/>
  <c r="AK50" i="8" s="1"/>
  <c r="F49" i="8"/>
  <c r="AK49" i="8" s="1"/>
  <c r="F48" i="8"/>
  <c r="AK48" i="8" s="1"/>
  <c r="F47" i="8"/>
  <c r="AK47" i="8" s="1"/>
  <c r="AK46" i="8"/>
  <c r="F46" i="8"/>
  <c r="F45" i="8"/>
  <c r="AK45" i="8" s="1"/>
  <c r="F44" i="8"/>
  <c r="AK44" i="8" s="1"/>
  <c r="F43" i="8"/>
  <c r="AK43" i="8" s="1"/>
  <c r="F42" i="8"/>
  <c r="AK42" i="8" s="1"/>
  <c r="F41" i="8"/>
  <c r="AK41" i="8" s="1"/>
  <c r="F40" i="8"/>
  <c r="AK40" i="8" s="1"/>
  <c r="AK39" i="8"/>
  <c r="F39" i="8"/>
  <c r="F38" i="8"/>
  <c r="AK38" i="8" s="1"/>
  <c r="F37" i="8"/>
  <c r="AK37" i="8" s="1"/>
  <c r="F36" i="8"/>
  <c r="AK36" i="8" s="1"/>
  <c r="F35" i="8"/>
  <c r="AK35" i="8" s="1"/>
  <c r="F34" i="8"/>
  <c r="AK34" i="8" s="1"/>
  <c r="F33" i="8"/>
  <c r="AK33" i="8" s="1"/>
  <c r="F32" i="8"/>
  <c r="AK32" i="8" s="1"/>
  <c r="AK31" i="8"/>
  <c r="F31" i="8"/>
  <c r="F30" i="8"/>
  <c r="AK30" i="8" s="1"/>
  <c r="F29" i="8"/>
  <c r="AK29" i="8" s="1"/>
  <c r="F28" i="8"/>
  <c r="AK28" i="8" s="1"/>
  <c r="F27" i="8"/>
  <c r="AK27" i="8" s="1"/>
  <c r="F26" i="8"/>
  <c r="AK26" i="8" s="1"/>
  <c r="F25" i="8"/>
  <c r="AK25" i="8" s="1"/>
  <c r="F24" i="8"/>
  <c r="AK24" i="8" s="1"/>
  <c r="F23" i="8"/>
  <c r="AK23" i="8" s="1"/>
  <c r="F22" i="8"/>
  <c r="AK22" i="8" s="1"/>
  <c r="AK21" i="8"/>
  <c r="F21" i="8"/>
  <c r="F20" i="8"/>
  <c r="AK20" i="8" s="1"/>
  <c r="F19" i="8"/>
  <c r="AK19" i="8" s="1"/>
  <c r="F18" i="8"/>
  <c r="AK18" i="8" s="1"/>
  <c r="F17" i="8"/>
  <c r="AK17" i="8" s="1"/>
  <c r="F16" i="8"/>
  <c r="AK16" i="8" s="1"/>
  <c r="F15" i="8"/>
  <c r="AK15" i="8" s="1"/>
  <c r="F14" i="8"/>
  <c r="AK14" i="8" s="1"/>
  <c r="AK13" i="8"/>
  <c r="F13" i="8"/>
  <c r="F12" i="8"/>
  <c r="AK12" i="8" s="1"/>
  <c r="F11" i="8"/>
  <c r="AK11" i="8" s="1"/>
  <c r="AK76" i="8" l="1"/>
  <c r="AK80" i="8"/>
  <c r="AL76" i="7" l="1"/>
  <c r="F43" i="1"/>
  <c r="F42" i="1"/>
  <c r="L80" i="7" l="1"/>
  <c r="M27" i="7" l="1"/>
  <c r="M43" i="7"/>
  <c r="AL86" i="7" l="1"/>
  <c r="AL87" i="7"/>
  <c r="AL88" i="7"/>
  <c r="F48" i="1"/>
  <c r="F80" i="1"/>
  <c r="F50" i="1"/>
  <c r="F76" i="1"/>
  <c r="F78" i="1"/>
  <c r="AI86" i="5"/>
  <c r="AI87" i="5"/>
  <c r="AI88" i="5"/>
  <c r="AI89" i="5"/>
  <c r="AI90" i="5"/>
  <c r="AI91" i="5"/>
  <c r="AL85" i="1"/>
  <c r="F85" i="5" s="1"/>
  <c r="AI85" i="5" s="1"/>
  <c r="F85" i="7" s="1"/>
  <c r="AL85" i="7" s="1"/>
  <c r="F60" i="1"/>
  <c r="F26" i="1"/>
  <c r="F15" i="1" l="1"/>
  <c r="F23" i="1"/>
  <c r="H24" i="1"/>
  <c r="I42" i="7" l="1"/>
  <c r="K76" i="7"/>
  <c r="AL12" i="1"/>
  <c r="F12" i="5" s="1"/>
  <c r="AL13" i="1"/>
  <c r="F13" i="5" s="1"/>
  <c r="AL14" i="1"/>
  <c r="F14" i="5" s="1"/>
  <c r="AL15" i="1"/>
  <c r="F15" i="5" s="1"/>
  <c r="AL16" i="1"/>
  <c r="F16" i="5" s="1"/>
  <c r="AL17" i="1"/>
  <c r="F17" i="5" s="1"/>
  <c r="AL18" i="1"/>
  <c r="F18" i="5" s="1"/>
  <c r="AL19" i="1"/>
  <c r="F19" i="5" s="1"/>
  <c r="AL20" i="1"/>
  <c r="F20" i="5" s="1"/>
  <c r="AL21" i="1"/>
  <c r="F21" i="5" s="1"/>
  <c r="AL22" i="1"/>
  <c r="F22" i="5" s="1"/>
  <c r="AL23" i="1"/>
  <c r="F23" i="5" s="1"/>
  <c r="AL24" i="1"/>
  <c r="F24" i="5" s="1"/>
  <c r="AL25" i="1"/>
  <c r="F25" i="5" s="1"/>
  <c r="AL26" i="1"/>
  <c r="F26" i="5" s="1"/>
  <c r="AL27" i="1"/>
  <c r="F27" i="5" s="1"/>
  <c r="AL28" i="1"/>
  <c r="F28" i="5" s="1"/>
  <c r="AL29" i="1"/>
  <c r="F29" i="5" s="1"/>
  <c r="AL30" i="1"/>
  <c r="F30" i="5" s="1"/>
  <c r="AL31" i="1"/>
  <c r="F31" i="5" s="1"/>
  <c r="AL32" i="1"/>
  <c r="F32" i="5" s="1"/>
  <c r="AL33" i="1"/>
  <c r="F33" i="5" s="1"/>
  <c r="AL34" i="1"/>
  <c r="F34" i="5" s="1"/>
  <c r="AL35" i="1"/>
  <c r="F35" i="5" s="1"/>
  <c r="AL36" i="1"/>
  <c r="F36" i="5" s="1"/>
  <c r="AL37" i="1"/>
  <c r="F37" i="5" s="1"/>
  <c r="AL38" i="1"/>
  <c r="F38" i="5" s="1"/>
  <c r="AL39" i="1"/>
  <c r="F39" i="5" s="1"/>
  <c r="AL40" i="1"/>
  <c r="F40" i="5" s="1"/>
  <c r="AL41" i="1"/>
  <c r="F41" i="5" s="1"/>
  <c r="AL42" i="1"/>
  <c r="F42" i="5" s="1"/>
  <c r="AL43" i="1"/>
  <c r="F43" i="5" s="1"/>
  <c r="AL44" i="1"/>
  <c r="F44" i="5" s="1"/>
  <c r="AL45" i="1"/>
  <c r="F45" i="5" s="1"/>
  <c r="AL46" i="1"/>
  <c r="F46" i="5" s="1"/>
  <c r="AL47" i="1"/>
  <c r="F47" i="5" s="1"/>
  <c r="AL48" i="1"/>
  <c r="F48" i="5" s="1"/>
  <c r="AL49" i="1"/>
  <c r="F49" i="5" s="1"/>
  <c r="AL50" i="1"/>
  <c r="F50" i="5" s="1"/>
  <c r="AL51" i="1"/>
  <c r="F51" i="5" s="1"/>
  <c r="AL52" i="1"/>
  <c r="F52" i="5" s="1"/>
  <c r="AL53" i="1"/>
  <c r="F53" i="5" s="1"/>
  <c r="AL54" i="1"/>
  <c r="F54" i="5" s="1"/>
  <c r="AL55" i="1"/>
  <c r="F55" i="5" s="1"/>
  <c r="AL56" i="1"/>
  <c r="F56" i="5" s="1"/>
  <c r="AL57" i="1"/>
  <c r="F57" i="5" s="1"/>
  <c r="AL58" i="1"/>
  <c r="F58" i="5" s="1"/>
  <c r="AL59" i="1"/>
  <c r="F59" i="5" s="1"/>
  <c r="AL60" i="1"/>
  <c r="F60" i="5" s="1"/>
  <c r="AL61" i="1"/>
  <c r="F61" i="5" s="1"/>
  <c r="AL62" i="1"/>
  <c r="F62" i="5" s="1"/>
  <c r="AL63" i="1"/>
  <c r="F63" i="5" s="1"/>
  <c r="AL64" i="1"/>
  <c r="F64" i="5" s="1"/>
  <c r="AL65" i="1"/>
  <c r="F65" i="5" s="1"/>
  <c r="AL66" i="1"/>
  <c r="F66" i="5" s="1"/>
  <c r="AL67" i="1"/>
  <c r="F67" i="5" s="1"/>
  <c r="AL68" i="1"/>
  <c r="F68" i="5" s="1"/>
  <c r="AL69" i="1"/>
  <c r="F69" i="5" s="1"/>
  <c r="AL70" i="1"/>
  <c r="F70" i="5" s="1"/>
  <c r="AL71" i="1"/>
  <c r="F71" i="5" s="1"/>
  <c r="AL72" i="1"/>
  <c r="F72" i="5" s="1"/>
  <c r="AL73" i="1"/>
  <c r="F73" i="5" s="1"/>
  <c r="AL74" i="1"/>
  <c r="F74" i="5" s="1"/>
  <c r="AL75" i="1"/>
  <c r="F75" i="5" s="1"/>
  <c r="AL76" i="1"/>
  <c r="F76" i="5" s="1"/>
  <c r="AL77" i="1"/>
  <c r="F77" i="5" s="1"/>
  <c r="AL78" i="1"/>
  <c r="F78" i="5" s="1"/>
  <c r="AL79" i="1"/>
  <c r="F79" i="5" s="1"/>
  <c r="AL80" i="1"/>
  <c r="F80" i="5" s="1"/>
  <c r="AL81" i="1"/>
  <c r="F81" i="5" s="1"/>
  <c r="AL82" i="1"/>
  <c r="F82" i="5" s="1"/>
  <c r="AI82" i="5" s="1"/>
  <c r="AL83" i="1"/>
  <c r="F83" i="5" s="1"/>
  <c r="AI83" i="5" s="1"/>
  <c r="F83" i="7" s="1"/>
  <c r="AL83" i="7" s="1"/>
  <c r="AL84" i="1"/>
  <c r="F84" i="5" s="1"/>
  <c r="AI84" i="5" s="1"/>
  <c r="F84" i="7" s="1"/>
  <c r="AL84" i="7" s="1"/>
  <c r="AL11" i="1"/>
  <c r="F11" i="5" s="1"/>
  <c r="AA76" i="5"/>
  <c r="AE43" i="5"/>
  <c r="W50" i="5"/>
  <c r="J42" i="5" l="1"/>
  <c r="J76" i="5"/>
  <c r="AI69" i="5"/>
  <c r="F69" i="7" s="1"/>
  <c r="AL69" i="7" s="1"/>
  <c r="AI70" i="5"/>
  <c r="F70" i="7" s="1"/>
  <c r="AL70" i="7" s="1"/>
  <c r="AI71" i="5"/>
  <c r="F71" i="7" s="1"/>
  <c r="AL71" i="7" s="1"/>
  <c r="AI72" i="5"/>
  <c r="F72" i="7" s="1"/>
  <c r="AL72" i="7" s="1"/>
  <c r="AI73" i="5"/>
  <c r="F73" i="7" s="1"/>
  <c r="AL73" i="7" s="1"/>
  <c r="AI74" i="5"/>
  <c r="F74" i="7" s="1"/>
  <c r="AL74" i="7" s="1"/>
  <c r="AI75" i="5"/>
  <c r="F75" i="7" s="1"/>
  <c r="AL75" i="7" s="1"/>
  <c r="AI76" i="5"/>
  <c r="F76" i="7" s="1"/>
  <c r="AI77" i="5"/>
  <c r="F77" i="7" s="1"/>
  <c r="AL77" i="7" s="1"/>
  <c r="AI78" i="5"/>
  <c r="F78" i="7" s="1"/>
  <c r="AL78" i="7" s="1"/>
  <c r="AI79" i="5"/>
  <c r="F79" i="7" s="1"/>
  <c r="AL79" i="7" s="1"/>
  <c r="AI80" i="5"/>
  <c r="F80" i="7" s="1"/>
  <c r="AL80" i="7" s="1"/>
  <c r="AI81" i="5"/>
  <c r="F81" i="7" s="1"/>
  <c r="F82" i="7"/>
  <c r="AI68" i="5"/>
  <c r="F68" i="7" s="1"/>
  <c r="AL68" i="7" s="1"/>
  <c r="AI67" i="5"/>
  <c r="F67" i="7" s="1"/>
  <c r="AL67" i="7" s="1"/>
  <c r="AI66" i="5"/>
  <c r="F66" i="7" s="1"/>
  <c r="AL66" i="7" s="1"/>
  <c r="AI65" i="5"/>
  <c r="F65" i="7" s="1"/>
  <c r="AL65" i="7" s="1"/>
  <c r="AI64" i="5"/>
  <c r="F64" i="7" s="1"/>
  <c r="AL64" i="7" s="1"/>
  <c r="AI63" i="5"/>
  <c r="F63" i="7" s="1"/>
  <c r="AL63" i="7" s="1"/>
  <c r="AI62" i="5"/>
  <c r="F62" i="7" s="1"/>
  <c r="AL62" i="7" s="1"/>
  <c r="AI61" i="5"/>
  <c r="F61" i="7" s="1"/>
  <c r="AL61" i="7" s="1"/>
  <c r="AI60" i="5"/>
  <c r="F60" i="7" s="1"/>
  <c r="AL60" i="7" s="1"/>
  <c r="AI59" i="5"/>
  <c r="F59" i="7" s="1"/>
  <c r="AL59" i="7" s="1"/>
  <c r="AI58" i="5"/>
  <c r="F58" i="7" s="1"/>
  <c r="AL58" i="7" s="1"/>
  <c r="AI57" i="5"/>
  <c r="F57" i="7" s="1"/>
  <c r="AL57" i="7" s="1"/>
  <c r="AI56" i="5"/>
  <c r="F56" i="7" s="1"/>
  <c r="AL56" i="7" s="1"/>
  <c r="AI55" i="5"/>
  <c r="F55" i="7" s="1"/>
  <c r="AL55" i="7" s="1"/>
  <c r="AI54" i="5"/>
  <c r="F54" i="7" s="1"/>
  <c r="AL54" i="7" s="1"/>
  <c r="AI53" i="5"/>
  <c r="F53" i="7" s="1"/>
  <c r="AL53" i="7" s="1"/>
  <c r="AI52" i="5"/>
  <c r="F52" i="7" s="1"/>
  <c r="AL52" i="7" s="1"/>
  <c r="AI51" i="5"/>
  <c r="F51" i="7" s="1"/>
  <c r="AL51" i="7" s="1"/>
  <c r="AI50" i="5"/>
  <c r="F50" i="7" s="1"/>
  <c r="AL50" i="7" s="1"/>
  <c r="AI49" i="5"/>
  <c r="F49" i="7" s="1"/>
  <c r="AL49" i="7" s="1"/>
  <c r="AI48" i="5"/>
  <c r="F48" i="7" s="1"/>
  <c r="AL48" i="7" s="1"/>
  <c r="AI47" i="5"/>
  <c r="F47" i="7" s="1"/>
  <c r="AL47" i="7" s="1"/>
  <c r="AI46" i="5"/>
  <c r="F46" i="7" s="1"/>
  <c r="AL46" i="7" s="1"/>
  <c r="AI45" i="5"/>
  <c r="F45" i="7" s="1"/>
  <c r="AL45" i="7" s="1"/>
  <c r="AI44" i="5"/>
  <c r="F44" i="7" s="1"/>
  <c r="AL44" i="7" s="1"/>
  <c r="AI43" i="5"/>
  <c r="F43" i="7" s="1"/>
  <c r="AL43" i="7" s="1"/>
  <c r="AI42" i="5"/>
  <c r="F42" i="7" s="1"/>
  <c r="AL42" i="7" s="1"/>
  <c r="AI41" i="5"/>
  <c r="F41" i="7" s="1"/>
  <c r="AL41" i="7" s="1"/>
  <c r="AI40" i="5"/>
  <c r="F40" i="7" s="1"/>
  <c r="AL40" i="7" s="1"/>
  <c r="AI39" i="5"/>
  <c r="F39" i="7" s="1"/>
  <c r="AL39" i="7" s="1"/>
  <c r="AI38" i="5"/>
  <c r="F38" i="7" s="1"/>
  <c r="AL38" i="7" s="1"/>
  <c r="AI37" i="5"/>
  <c r="F37" i="7" s="1"/>
  <c r="AL37" i="7" s="1"/>
  <c r="AI36" i="5"/>
  <c r="F36" i="7" s="1"/>
  <c r="AL36" i="7" s="1"/>
  <c r="AI35" i="5"/>
  <c r="F35" i="7" s="1"/>
  <c r="AL35" i="7" s="1"/>
  <c r="AI34" i="5"/>
  <c r="F34" i="7" s="1"/>
  <c r="AL34" i="7" s="1"/>
  <c r="AI33" i="5"/>
  <c r="F33" i="7" s="1"/>
  <c r="AL33" i="7" s="1"/>
  <c r="AI32" i="5"/>
  <c r="F32" i="7" s="1"/>
  <c r="AL32" i="7" s="1"/>
  <c r="AI31" i="5"/>
  <c r="F31" i="7" s="1"/>
  <c r="AL31" i="7" s="1"/>
  <c r="AI30" i="5"/>
  <c r="F30" i="7" s="1"/>
  <c r="AL30" i="7" s="1"/>
  <c r="AI29" i="5"/>
  <c r="F29" i="7" s="1"/>
  <c r="AL29" i="7" s="1"/>
  <c r="AI28" i="5"/>
  <c r="F28" i="7" s="1"/>
  <c r="AL28" i="7" s="1"/>
  <c r="AI27" i="5"/>
  <c r="F27" i="7" s="1"/>
  <c r="AL27" i="7" s="1"/>
  <c r="AI26" i="5"/>
  <c r="F26" i="7" s="1"/>
  <c r="AL26" i="7" s="1"/>
  <c r="AI25" i="5"/>
  <c r="F25" i="7" s="1"/>
  <c r="AL25" i="7" s="1"/>
  <c r="AI24" i="5"/>
  <c r="F24" i="7" s="1"/>
  <c r="AL24" i="7" s="1"/>
  <c r="AI23" i="5"/>
  <c r="F23" i="7" s="1"/>
  <c r="AL23" i="7" s="1"/>
  <c r="AI22" i="5"/>
  <c r="F22" i="7" s="1"/>
  <c r="AL22" i="7" s="1"/>
  <c r="AI21" i="5"/>
  <c r="F21" i="7" s="1"/>
  <c r="AL21" i="7" s="1"/>
  <c r="AI20" i="5"/>
  <c r="F20" i="7" s="1"/>
  <c r="AL20" i="7" s="1"/>
  <c r="AI19" i="5"/>
  <c r="F19" i="7" s="1"/>
  <c r="AL19" i="7" s="1"/>
  <c r="AI18" i="5"/>
  <c r="F18" i="7" s="1"/>
  <c r="AL18" i="7" s="1"/>
  <c r="AI17" i="5"/>
  <c r="F17" i="7" s="1"/>
  <c r="AL17" i="7" s="1"/>
  <c r="AI16" i="5"/>
  <c r="F16" i="7" s="1"/>
  <c r="AL16" i="7" s="1"/>
  <c r="AI15" i="5"/>
  <c r="F15" i="7" s="1"/>
  <c r="AL15" i="7" s="1"/>
  <c r="AI14" i="5"/>
  <c r="F14" i="7" s="1"/>
  <c r="AL14" i="7" s="1"/>
  <c r="AI13" i="5"/>
  <c r="F13" i="7" s="1"/>
  <c r="AL13" i="7" s="1"/>
  <c r="AI12" i="5"/>
  <c r="F12" i="7" s="1"/>
  <c r="AL12" i="7" s="1"/>
  <c r="AI11" i="5"/>
  <c r="F11" i="7" s="1"/>
  <c r="AL11" i="7" s="1"/>
  <c r="AJ42" i="1"/>
  <c r="AI50" i="1"/>
  <c r="AL81" i="7" l="1"/>
  <c r="AL8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H23" authorId="0" shapeId="0" xr:uid="{284BA85C-D013-41C0-B8AE-806E3842CA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 Print                          Inv-110 Dt.3-Jan-26</t>
        </r>
      </text>
    </comment>
    <comment ref="H24" authorId="0" shapeId="0" xr:uid="{04D6C3D4-B77B-4C10-A140-9E350119DA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 Print                          Inv-110 Dt.3-Jan-26</t>
        </r>
      </text>
    </comment>
    <comment ref="O24" authorId="0" shapeId="0" xr:uid="{CFC19F92-7F4D-46AC-823A-B05ADFCEFC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Rework - artprint</t>
        </r>
      </text>
    </comment>
    <comment ref="Q42" authorId="0" shapeId="0" xr:uid="{9028ADF8-DD8B-42E3-9622-2AD528B00C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 Print - Rework</t>
        </r>
      </text>
    </comment>
    <comment ref="Q43" authorId="0" shapeId="0" xr:uid="{A6667BCD-A220-4155-9E16-9F9B4B961D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 Print - Rework</t>
        </r>
      </text>
    </comment>
    <comment ref="R60" authorId="0" shapeId="0" xr:uid="{1581B77E-CCAD-40A3-B472-6AC10C2B5E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ArtPrint                           Inv-114 Dt.12-jan-26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58B7AEE3-52A0-4842-BAFC-00CDF2B8A6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J15" authorId="0" shapeId="0" xr:uid="{8F660E09-F827-4F62-92B2-3ED45FD6A4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 Print                               Inv-122 Dt.4-feb-26</t>
        </r>
      </text>
    </comment>
    <comment ref="I27" authorId="0" shapeId="0" xr:uid="{B52EAF58-FC39-4FBB-B075-E992D8D0DF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 Print                               Inv-122 Dt.4-feb-26</t>
        </r>
      </text>
    </comment>
    <comment ref="AG42" authorId="0" shapeId="0" xr:uid="{65D9BEE2-3EB3-4354-975B-9F7437C9D2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 Print                             Inv-134 Dt.28-Feb-26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78E3F6F6-2682-4EC9-A212-5369524BD3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3008BE09-C108-4469-B679-2DF8913275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</commentList>
</comments>
</file>

<file path=xl/sharedStrings.xml><?xml version="1.0" encoding="utf-8"?>
<sst xmlns="http://schemas.openxmlformats.org/spreadsheetml/2006/main" count="960" uniqueCount="185">
  <si>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</si>
  <si>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</si>
  <si>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</si>
  <si>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</si>
  <si>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</si>
  <si>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</si>
  <si>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</si>
  <si>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</si>
  <si>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</si>
  <si>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</si>
  <si>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</si>
  <si>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</si>
  <si>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</si>
  <si>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</si>
  <si>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</si>
  <si>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</si>
  <si>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</si>
  <si>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</si>
  <si>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</si>
  <si>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</si>
  <si>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</si>
  <si>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</si>
  <si>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</si>
  <si>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</si>
  <si>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</si>
  <si>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</si>
  <si>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</si>
  <si>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</si>
  <si>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</si>
  <si>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</si>
  <si>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</si>
  <si>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KPD-0240003</t>
  </si>
  <si>
    <t>Keypad - 1.1 - CE10</t>
  </si>
  <si>
    <t>KPD-0240004</t>
  </si>
  <si>
    <t>Keypad - 1.1 - CE1H</t>
  </si>
  <si>
    <t>KPD-0240005</t>
  </si>
  <si>
    <t>Keypad - 1.1 - CE120</t>
  </si>
  <si>
    <t>KPD-0240006</t>
  </si>
  <si>
    <t>Keypad - 1.1 - CE12H</t>
  </si>
  <si>
    <t>KPD-0240007</t>
  </si>
  <si>
    <t>Keypad - 1.1 - CE130</t>
  </si>
  <si>
    <t>KPD-0240008</t>
  </si>
  <si>
    <t>Keypad - 1.1 - CE13H</t>
  </si>
  <si>
    <t>KPD-0240009</t>
  </si>
  <si>
    <t>Keypad - 1.1 - CE140</t>
  </si>
  <si>
    <t>KPD-0240010</t>
  </si>
  <si>
    <t>Keypad - 1.1 - CE14H</t>
  </si>
  <si>
    <t>KPD-0240011</t>
  </si>
  <si>
    <t>Keypad - 1.1 - CE1230</t>
  </si>
  <si>
    <t>KPD-0240012</t>
  </si>
  <si>
    <t>Keypad - 1.1 - CE123H</t>
  </si>
  <si>
    <t>KPD-0240013</t>
  </si>
  <si>
    <t>Keypad - 1.1 - CE1240</t>
  </si>
  <si>
    <t>KPD-0240014</t>
  </si>
  <si>
    <t>Keypad - 1.1 - CE124H</t>
  </si>
  <si>
    <t>KPD-0240015</t>
  </si>
  <si>
    <t>Keypad - 1.1 - CE12430</t>
  </si>
  <si>
    <t>KPD-0240016</t>
  </si>
  <si>
    <t>Keypad - 1.1 - CE1234H</t>
  </si>
  <si>
    <t>KPD-0240017</t>
  </si>
  <si>
    <t>Keypad - 3.1 - OE1(0/H)</t>
  </si>
  <si>
    <t>KPD-0240018</t>
  </si>
  <si>
    <t>Keypad - 3.1 - OE12(0/H)</t>
  </si>
  <si>
    <t>KPD-0240019</t>
  </si>
  <si>
    <t>Keypad - 3.1 - OE13(0/H)</t>
  </si>
  <si>
    <t>KPD-0240020</t>
  </si>
  <si>
    <t>Keypad - 3.1 - OE14(0/H)</t>
  </si>
  <si>
    <t>KPD-0240021</t>
  </si>
  <si>
    <t>Keypad - 3.1 - OE123(0/H)</t>
  </si>
  <si>
    <t>KPD-0240022</t>
  </si>
  <si>
    <t>Keypad - 3.1 - OE124(0/H)</t>
  </si>
  <si>
    <t>KPD-0240023</t>
  </si>
  <si>
    <t>Keypad - 3.1 - OE134(0/H)</t>
  </si>
  <si>
    <t>KPD-0240024</t>
  </si>
  <si>
    <t>Keypad - 3.1 - OE1234(0/H)</t>
  </si>
  <si>
    <t>KPD-0240025</t>
  </si>
  <si>
    <t>Keypad - 3.1 - VOE1(0/H)</t>
  </si>
  <si>
    <t>KPD-0240026</t>
  </si>
  <si>
    <t>Keypad - 3.1 - VOE12(0/H)</t>
  </si>
  <si>
    <t>KPD-0240027</t>
  </si>
  <si>
    <t>Keypad - 3.1 - VOE13(0/H)</t>
  </si>
  <si>
    <t>KPD-0240028</t>
  </si>
  <si>
    <t>Keypad - 3.1 - VOE14(0/H)</t>
  </si>
  <si>
    <t>KPD-0240029</t>
  </si>
  <si>
    <t>Keypad - 3.1 - VOE123(0/H)</t>
  </si>
  <si>
    <t>KPD-0240030</t>
  </si>
  <si>
    <t>Keypad - 3.1 - VOE124(0/H)</t>
  </si>
  <si>
    <t>KPD-0240031</t>
  </si>
  <si>
    <t>Keypad - 3.1 - VOE134(0/H)</t>
  </si>
  <si>
    <t>KPD-0240032</t>
  </si>
  <si>
    <t>Keypad - 3.1 - TE150</t>
  </si>
  <si>
    <t>KPD-0240033</t>
  </si>
  <si>
    <t>Keypad - 3.1 - TE10</t>
  </si>
  <si>
    <t>KPD-0240034</t>
  </si>
  <si>
    <t>Keypad - 3.1 - HH (P/E)1</t>
  </si>
  <si>
    <t>KPD-0240035</t>
  </si>
  <si>
    <t>Keypad - 3.1 - HH (P/E)12</t>
  </si>
  <si>
    <t>KPD-0240036</t>
  </si>
  <si>
    <t>Keypad - 3.1 - HH (P/E)126</t>
  </si>
  <si>
    <t>Keypad - 1.1 - ACK1234</t>
  </si>
  <si>
    <t>STK-0300001</t>
  </si>
  <si>
    <t>Sticker - 1.1 - C00H</t>
  </si>
  <si>
    <t>STK-0300002</t>
  </si>
  <si>
    <t>Sticker - 1.1 - CP10</t>
  </si>
  <si>
    <t>STK-0300003</t>
  </si>
  <si>
    <t>Sticker - 1.1 - CP1H</t>
  </si>
  <si>
    <t>STK-0300004</t>
  </si>
  <si>
    <t>Sticker - 1.1 - CP120</t>
  </si>
  <si>
    <t>STK-0300005</t>
  </si>
  <si>
    <t>Sticker - 1.1 - CP12H</t>
  </si>
  <si>
    <t>STK-0300006</t>
  </si>
  <si>
    <t>Sticker - 1.1 - CP130</t>
  </si>
  <si>
    <t>STK-0300007</t>
  </si>
  <si>
    <t>Sticker - 1.1 - CP13H</t>
  </si>
  <si>
    <t>STK-0300008</t>
  </si>
  <si>
    <t>Sticker - 1.1 - CP140</t>
  </si>
  <si>
    <t>STK-0300009</t>
  </si>
  <si>
    <t>Sticker - 1.1 - CP14H</t>
  </si>
  <si>
    <t>STK-0300010</t>
  </si>
  <si>
    <t>Sticker - 1.1 - CP1230</t>
  </si>
  <si>
    <t>STK-0300011</t>
  </si>
  <si>
    <t>Sticker - 1.1 - CP123H</t>
  </si>
  <si>
    <t>STK-0300012</t>
  </si>
  <si>
    <t>Sticker - 1.1 - CP1240</t>
  </si>
  <si>
    <t>STK-0300013</t>
  </si>
  <si>
    <t>Sticker - 1.1 - CP124H</t>
  </si>
  <si>
    <t>STK-0300014</t>
  </si>
  <si>
    <t>Sticker - 1.1 - CP1340</t>
  </si>
  <si>
    <t>STK-0300015</t>
  </si>
  <si>
    <t>Sticker - 1.1 - CP134H</t>
  </si>
  <si>
    <t>STK-0300016</t>
  </si>
  <si>
    <t>Sticker - 3.1 - OP1 (O/H)</t>
  </si>
  <si>
    <t>STK-0300017</t>
  </si>
  <si>
    <t>Sticker - 3.1 - OP12 (O/H)</t>
  </si>
  <si>
    <t>STK-0300018</t>
  </si>
  <si>
    <t>Sticker - 3.1 - OP13 (O/H)</t>
  </si>
  <si>
    <t>STK-0300019</t>
  </si>
  <si>
    <t>Sticker - 3.1 - OP14 (O/H)</t>
  </si>
  <si>
    <t>STK-0300020</t>
  </si>
  <si>
    <t>Sticker - 3.1 - OP123 (O/H)</t>
  </si>
  <si>
    <t>STK-0300021</t>
  </si>
  <si>
    <t>Sticker - 3.1 - OP124 (O/H)</t>
  </si>
  <si>
    <t>STK-0300022</t>
  </si>
  <si>
    <t>Sticker - 3.1 - OP134 (O/H)</t>
  </si>
  <si>
    <t>STK-0300023</t>
  </si>
  <si>
    <t>Sticker - 3.1 - OP1234 (O/H)</t>
  </si>
  <si>
    <t>STK-0300024</t>
  </si>
  <si>
    <t>Sticker - 3.1 - VOP1 (O/H)</t>
  </si>
  <si>
    <t>STK-0300025</t>
  </si>
  <si>
    <t>Sticker - 3.1 - VOP12 (O/H)</t>
  </si>
  <si>
    <t>STK-0300026</t>
  </si>
  <si>
    <t>Sticker - 3.1 - VOP13 (O/H)</t>
  </si>
  <si>
    <t>STK-0300027</t>
  </si>
  <si>
    <t>Sticker - 3.1 - VOP14 (O/H)</t>
  </si>
  <si>
    <t>STK-0300028</t>
  </si>
  <si>
    <t>Sticker - 3.1 - VOP123 (O/H)</t>
  </si>
  <si>
    <t>STK-0300029</t>
  </si>
  <si>
    <t>Sticker - 3.1 - VOP124 (O/H)</t>
  </si>
  <si>
    <t>STK-0300030</t>
  </si>
  <si>
    <t>Sticker - 3.1 - VOP134 (O/H)</t>
  </si>
  <si>
    <t>STK-0300031</t>
  </si>
  <si>
    <t>Sticker - 3.1 - T050</t>
  </si>
  <si>
    <t>STK-0300032</t>
  </si>
  <si>
    <t>Sticker - 3.1 - TP150</t>
  </si>
  <si>
    <t>STK-0300033</t>
  </si>
  <si>
    <t>Sticker - 3.1 - TP10</t>
  </si>
  <si>
    <t>STK-0300034</t>
  </si>
  <si>
    <t>Sticker - 3.1 - D000</t>
  </si>
  <si>
    <t>STK-0300035</t>
  </si>
  <si>
    <t>Sticker - 3.1 - DV000</t>
  </si>
  <si>
    <t>STK-0300036</t>
  </si>
  <si>
    <t>Sticker - 3.1 - DW000</t>
  </si>
  <si>
    <t>STK-0300037</t>
  </si>
  <si>
    <t>Sticker - 3.1 - DVW000</t>
  </si>
  <si>
    <t>STK-0300038</t>
  </si>
  <si>
    <t>Sticker - 3.1 - QOP12 (Next &amp; Assistance)</t>
  </si>
  <si>
    <t>STK-0300040</t>
  </si>
  <si>
    <t>Sticker - 1.1 - QCP12 (Next &amp; Assistance)</t>
  </si>
  <si>
    <t>STK-0300041</t>
  </si>
  <si>
    <t>Sticker - 3.1 - VOP1234 (O/H)</t>
  </si>
  <si>
    <t>B2</t>
  </si>
  <si>
    <t>B1</t>
  </si>
  <si>
    <t>B3</t>
  </si>
  <si>
    <t>Opening Stock</t>
  </si>
  <si>
    <t>Closing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</si>
</sst>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1" fontId="13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vertical="top"/>
    </xf>
    <xf numFmtId="0" fontId="4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14" fontId="17" fillId="0" borderId="1" xfId="0" applyNumberFormat="1" applyFont="1" applyBorder="1"/>
    <xf numFmtId="1" fontId="13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" fontId="13" fillId="3" borderId="1" xfId="0" applyNumberFormat="1" applyFont="1" applyFill="1" applyBorder="1" applyAlignment="1">
      <alignment horizontal="center" wrapText="1"/>
    </xf>
    <xf numFmtId="1" fontId="18" fillId="0" borderId="1" xfId="0" applyNumberFormat="1" applyFont="1" applyBorder="1" applyAlignment="1">
      <alignment horizontal="center"/>
    </xf>
    <xf numFmtId="0" fontId="14" fillId="3" borderId="1" xfId="0" applyFont="1" applyFill="1" applyBorder="1" applyAlignment="1">
      <alignment vertical="top"/>
    </xf>
    <xf numFmtId="0" fontId="14" fillId="4" borderId="1" xfId="0" applyFont="1" applyFill="1" applyBorder="1" applyAlignment="1">
      <alignment vertical="top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5" fillId="0" borderId="23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Q98"/>
  <sheetViews>
    <sheetView zoomScaleNormal="100" workbookViewId="0">
      <pane xSplit="3" ySplit="10" topLeftCell="H42" activePane="bottomRight" state="frozen"/>
      <selection pane="topRight" activeCell="D1" sqref="D1"/>
      <selection pane="bottomLeft" activeCell="A11" sqref="A11"/>
      <selection pane="bottomRight" activeCell="F44" sqref="F44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36.42578125" style="2" customWidth="1"/>
    <col min="4" max="4" width="9.140625" style="2" customWidth="1"/>
    <col min="5" max="5" width="11" style="1" customWidth="1"/>
    <col min="6" max="6" width="9.7109375" style="1" customWidth="1"/>
    <col min="7" max="7" width="8.85546875" style="1" customWidth="1"/>
    <col min="8" max="9" width="9" style="1" bestFit="1" customWidth="1"/>
    <col min="10" max="10" width="9.7109375" style="1" customWidth="1"/>
    <col min="11" max="12" width="9" style="1" bestFit="1" customWidth="1"/>
    <col min="13" max="13" width="9.140625" style="1" customWidth="1"/>
    <col min="14" max="14" width="10.28515625" style="1" customWidth="1"/>
    <col min="15" max="15" width="9.5703125" style="1" customWidth="1"/>
    <col min="16" max="16" width="8.85546875" style="1" customWidth="1"/>
    <col min="17" max="17" width="9.28515625" style="1" customWidth="1"/>
    <col min="18" max="20" width="9" style="1" bestFit="1" customWidth="1"/>
    <col min="21" max="21" width="9" style="1" customWidth="1"/>
    <col min="22" max="22" width="9" style="1" bestFit="1" customWidth="1"/>
    <col min="23" max="23" width="9.28515625" style="1" customWidth="1"/>
    <col min="24" max="24" width="9" style="1" customWidth="1"/>
    <col min="25" max="28" width="9" style="1" bestFit="1" customWidth="1"/>
    <col min="29" max="29" width="9.5703125" style="1" customWidth="1"/>
    <col min="30" max="35" width="9" style="1" bestFit="1" customWidth="1"/>
    <col min="36" max="36" width="9.140625" style="1" customWidth="1"/>
    <col min="37" max="37" width="9" style="1" bestFit="1" customWidth="1"/>
    <col min="38" max="38" width="12.140625" style="1" customWidth="1"/>
    <col min="39" max="16384" width="16.85546875" style="1"/>
  </cols>
  <sheetData>
    <row r="1" spans="1:43" customFormat="1" ht="23.45" customHeight="1" x14ac:dyDescent="0.25">
      <c r="E1" s="40" t="s">
        <v>29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43" customFormat="1" ht="15" x14ac:dyDescent="0.25">
      <c r="E2" s="41" t="s">
        <v>30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</row>
    <row r="3" spans="1:43" customFormat="1" ht="15.75" x14ac:dyDescent="0.25">
      <c r="E3" s="44" t="s">
        <v>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43" customFormat="1" ht="15" x14ac:dyDescent="0.25">
      <c r="E4" s="45" t="s">
        <v>1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1:43" customFormat="1" ht="15.75" x14ac:dyDescent="0.25">
      <c r="E5" s="46" t="s">
        <v>2</v>
      </c>
      <c r="F5" s="46"/>
      <c r="G5" s="46"/>
      <c r="H5" s="47" t="s">
        <v>3</v>
      </c>
      <c r="I5" s="48"/>
      <c r="J5" s="49"/>
      <c r="K5" s="50" t="s">
        <v>4</v>
      </c>
      <c r="L5" s="50"/>
      <c r="M5" s="13">
        <v>0</v>
      </c>
      <c r="N5" s="51" t="s">
        <v>5</v>
      </c>
      <c r="O5" s="51"/>
      <c r="P5" s="52"/>
      <c r="Q5" s="53"/>
    </row>
    <row r="6" spans="1:43" customFormat="1" ht="15.75" x14ac:dyDescent="0.25">
      <c r="E6" s="46" t="s">
        <v>6</v>
      </c>
      <c r="F6" s="46"/>
      <c r="G6" s="46"/>
      <c r="H6" s="54" t="s">
        <v>7</v>
      </c>
      <c r="I6" s="54"/>
      <c r="J6" s="54"/>
      <c r="K6" s="50" t="s">
        <v>8</v>
      </c>
      <c r="L6" s="50"/>
      <c r="M6" s="55" t="s">
        <v>9</v>
      </c>
      <c r="N6" s="55"/>
      <c r="O6" s="55"/>
      <c r="P6" s="55"/>
      <c r="Q6" s="55"/>
    </row>
    <row r="7" spans="1:43" customFormat="1" ht="15.75" x14ac:dyDescent="0.25">
      <c r="E7" s="50" t="s">
        <v>10</v>
      </c>
      <c r="F7" s="50"/>
      <c r="G7" s="50"/>
      <c r="H7" s="56"/>
      <c r="I7" s="56"/>
      <c r="J7" s="56"/>
      <c r="K7" s="50" t="s">
        <v>11</v>
      </c>
      <c r="L7" s="50"/>
      <c r="M7" s="55"/>
      <c r="N7" s="55"/>
      <c r="O7" s="55"/>
      <c r="P7" s="55"/>
      <c r="Q7" s="55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9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4" t="s">
        <v>183</v>
      </c>
      <c r="G10" s="33">
        <v>46023</v>
      </c>
      <c r="H10" s="33">
        <v>46024</v>
      </c>
      <c r="I10" s="33">
        <v>46025</v>
      </c>
      <c r="J10" s="33">
        <v>46026</v>
      </c>
      <c r="K10" s="33">
        <v>46027</v>
      </c>
      <c r="L10" s="33">
        <v>46028</v>
      </c>
      <c r="M10" s="33">
        <v>46029</v>
      </c>
      <c r="N10" s="33">
        <v>46030</v>
      </c>
      <c r="O10" s="33">
        <v>46031</v>
      </c>
      <c r="P10" s="33">
        <v>46032</v>
      </c>
      <c r="Q10" s="33">
        <v>46033</v>
      </c>
      <c r="R10" s="33">
        <v>46034</v>
      </c>
      <c r="S10" s="33">
        <v>46035</v>
      </c>
      <c r="T10" s="33">
        <v>46036</v>
      </c>
      <c r="U10" s="33">
        <v>46037</v>
      </c>
      <c r="V10" s="33">
        <v>46038</v>
      </c>
      <c r="W10" s="33">
        <v>46039</v>
      </c>
      <c r="X10" s="33">
        <v>46040</v>
      </c>
      <c r="Y10" s="33">
        <v>46041</v>
      </c>
      <c r="Z10" s="33">
        <v>46042</v>
      </c>
      <c r="AA10" s="33">
        <v>46043</v>
      </c>
      <c r="AB10" s="33">
        <v>46044</v>
      </c>
      <c r="AC10" s="33">
        <v>46045</v>
      </c>
      <c r="AD10" s="33">
        <v>46046</v>
      </c>
      <c r="AE10" s="33">
        <v>46047</v>
      </c>
      <c r="AF10" s="33">
        <v>46048</v>
      </c>
      <c r="AG10" s="33">
        <v>46049</v>
      </c>
      <c r="AH10" s="33">
        <v>46050</v>
      </c>
      <c r="AI10" s="33">
        <v>46051</v>
      </c>
      <c r="AJ10" s="33">
        <v>46052</v>
      </c>
      <c r="AK10" s="33">
        <v>46053</v>
      </c>
      <c r="AL10" s="34" t="s">
        <v>184</v>
      </c>
      <c r="AM10" s="3" t="s">
        <v>18</v>
      </c>
      <c r="AN10" s="3" t="s">
        <v>19</v>
      </c>
      <c r="AO10" s="3" t="s">
        <v>20</v>
      </c>
      <c r="AP10" s="16"/>
      <c r="AQ10" s="17"/>
    </row>
    <row r="11" spans="1:43" customFormat="1" ht="15" hidden="1" x14ac:dyDescent="0.25">
      <c r="A11" s="13" t="s">
        <v>180</v>
      </c>
      <c r="B11" s="22" t="s">
        <v>31</v>
      </c>
      <c r="C11" s="22" t="s">
        <v>32</v>
      </c>
      <c r="D11" s="13"/>
      <c r="E11" s="13"/>
      <c r="F11" s="35">
        <v>23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36">
        <f>F11+SUM(G11:AK11)</f>
        <v>23</v>
      </c>
    </row>
    <row r="12" spans="1:43" customFormat="1" ht="15" hidden="1" x14ac:dyDescent="0.25">
      <c r="A12" s="13" t="s">
        <v>180</v>
      </c>
      <c r="B12" s="22" t="s">
        <v>33</v>
      </c>
      <c r="C12" s="22" t="s">
        <v>34</v>
      </c>
      <c r="D12" s="13"/>
      <c r="E12" s="13"/>
      <c r="F12" s="35">
        <v>499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36">
        <f t="shared" ref="AL12:AL75" si="0">F12+SUM(G12:AK12)</f>
        <v>499</v>
      </c>
    </row>
    <row r="13" spans="1:43" customFormat="1" ht="15" hidden="1" x14ac:dyDescent="0.25">
      <c r="A13" s="13" t="s">
        <v>180</v>
      </c>
      <c r="B13" s="22" t="s">
        <v>35</v>
      </c>
      <c r="C13" s="22" t="s">
        <v>36</v>
      </c>
      <c r="D13" s="13"/>
      <c r="E13" s="13"/>
      <c r="F13" s="35">
        <v>25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36">
        <f t="shared" si="0"/>
        <v>25</v>
      </c>
    </row>
    <row r="14" spans="1:43" customFormat="1" ht="15" hidden="1" x14ac:dyDescent="0.25">
      <c r="A14" s="13" t="s">
        <v>181</v>
      </c>
      <c r="B14" s="22" t="s">
        <v>37</v>
      </c>
      <c r="C14" s="22" t="s">
        <v>38</v>
      </c>
      <c r="D14" s="13"/>
      <c r="E14" s="13"/>
      <c r="F14" s="35">
        <v>470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36">
        <f t="shared" si="0"/>
        <v>470</v>
      </c>
    </row>
    <row r="15" spans="1:43" customFormat="1" ht="15" hidden="1" x14ac:dyDescent="0.25">
      <c r="A15" s="13" t="s">
        <v>180</v>
      </c>
      <c r="B15" s="39" t="s">
        <v>39</v>
      </c>
      <c r="C15" s="39" t="s">
        <v>40</v>
      </c>
      <c r="D15" s="13"/>
      <c r="E15" s="13"/>
      <c r="F15" s="35">
        <f>10-5</f>
        <v>5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36">
        <f t="shared" si="0"/>
        <v>5</v>
      </c>
    </row>
    <row r="16" spans="1:43" customFormat="1" ht="15" hidden="1" x14ac:dyDescent="0.25">
      <c r="A16" s="13" t="s">
        <v>180</v>
      </c>
      <c r="B16" s="22" t="s">
        <v>41</v>
      </c>
      <c r="C16" s="22" t="s">
        <v>42</v>
      </c>
      <c r="D16" s="13"/>
      <c r="E16" s="13"/>
      <c r="F16" s="35">
        <v>10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36">
        <f t="shared" si="0"/>
        <v>10</v>
      </c>
    </row>
    <row r="17" spans="1:38" customFormat="1" ht="15" hidden="1" x14ac:dyDescent="0.25">
      <c r="A17" s="13" t="s">
        <v>180</v>
      </c>
      <c r="B17" s="22" t="s">
        <v>43</v>
      </c>
      <c r="C17" s="22" t="s">
        <v>44</v>
      </c>
      <c r="D17" s="13"/>
      <c r="E17" s="13"/>
      <c r="F17" s="35">
        <v>8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36">
        <f t="shared" si="0"/>
        <v>8</v>
      </c>
    </row>
    <row r="18" spans="1:38" customFormat="1" ht="15" hidden="1" x14ac:dyDescent="0.25">
      <c r="A18" s="13" t="s">
        <v>180</v>
      </c>
      <c r="B18" s="22" t="s">
        <v>45</v>
      </c>
      <c r="C18" s="22" t="s">
        <v>46</v>
      </c>
      <c r="D18" s="13"/>
      <c r="E18" s="13"/>
      <c r="F18" s="35">
        <v>9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36">
        <f t="shared" si="0"/>
        <v>9</v>
      </c>
    </row>
    <row r="19" spans="1:38" customFormat="1" ht="15" hidden="1" x14ac:dyDescent="0.25">
      <c r="A19" s="13"/>
      <c r="B19" s="38" t="s">
        <v>47</v>
      </c>
      <c r="C19" s="38" t="s">
        <v>48</v>
      </c>
      <c r="D19" s="13"/>
      <c r="E19" s="13"/>
      <c r="F19" s="35">
        <v>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36">
        <f t="shared" si="0"/>
        <v>0</v>
      </c>
    </row>
    <row r="20" spans="1:38" customFormat="1" ht="15" hidden="1" x14ac:dyDescent="0.25">
      <c r="A20" s="13" t="s">
        <v>181</v>
      </c>
      <c r="B20" s="22" t="s">
        <v>49</v>
      </c>
      <c r="C20" s="22" t="s">
        <v>50</v>
      </c>
      <c r="D20" s="13"/>
      <c r="E20" s="13"/>
      <c r="F20" s="35">
        <v>239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36">
        <f t="shared" si="0"/>
        <v>239</v>
      </c>
    </row>
    <row r="21" spans="1:38" customFormat="1" ht="15" hidden="1" x14ac:dyDescent="0.25">
      <c r="A21" s="13" t="s">
        <v>180</v>
      </c>
      <c r="B21" s="22" t="s">
        <v>51</v>
      </c>
      <c r="C21" s="22" t="s">
        <v>52</v>
      </c>
      <c r="D21" s="13"/>
      <c r="E21" s="13"/>
      <c r="F21" s="35">
        <v>9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36">
        <f t="shared" si="0"/>
        <v>9</v>
      </c>
    </row>
    <row r="22" spans="1:38" customFormat="1" ht="15" hidden="1" x14ac:dyDescent="0.25">
      <c r="A22" s="13" t="s">
        <v>181</v>
      </c>
      <c r="B22" s="22" t="s">
        <v>53</v>
      </c>
      <c r="C22" s="22" t="s">
        <v>54</v>
      </c>
      <c r="D22" s="13"/>
      <c r="E22" s="13"/>
      <c r="F22" s="35">
        <v>260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36">
        <f t="shared" si="0"/>
        <v>260</v>
      </c>
    </row>
    <row r="23" spans="1:38" customFormat="1" ht="15" hidden="1" x14ac:dyDescent="0.25">
      <c r="A23" s="13" t="s">
        <v>180</v>
      </c>
      <c r="B23" s="22" t="s">
        <v>55</v>
      </c>
      <c r="C23" s="22" t="s">
        <v>56</v>
      </c>
      <c r="D23" s="13"/>
      <c r="E23" s="13"/>
      <c r="F23" s="35">
        <f>22+11+4</f>
        <v>37</v>
      </c>
      <c r="G23" s="13"/>
      <c r="H23" s="32">
        <v>40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36">
        <f t="shared" si="0"/>
        <v>77</v>
      </c>
    </row>
    <row r="24" spans="1:38" customFormat="1" ht="15" hidden="1" x14ac:dyDescent="0.25">
      <c r="A24" s="13" t="s">
        <v>180</v>
      </c>
      <c r="B24" s="22" t="s">
        <v>57</v>
      </c>
      <c r="C24" s="22" t="s">
        <v>58</v>
      </c>
      <c r="D24" s="13"/>
      <c r="E24" s="13"/>
      <c r="F24" s="35"/>
      <c r="G24" s="13"/>
      <c r="H24" s="32">
        <f>250-3</f>
        <v>247</v>
      </c>
      <c r="I24" s="13">
        <v>-80</v>
      </c>
      <c r="J24" s="13"/>
      <c r="K24" s="13"/>
      <c r="L24" s="13"/>
      <c r="M24" s="13"/>
      <c r="N24" s="13"/>
      <c r="O24" s="32">
        <v>9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36">
        <f t="shared" si="0"/>
        <v>176</v>
      </c>
    </row>
    <row r="25" spans="1:38" customFormat="1" ht="15" hidden="1" x14ac:dyDescent="0.25">
      <c r="A25" s="13" t="s">
        <v>180</v>
      </c>
      <c r="B25" s="22" t="s">
        <v>59</v>
      </c>
      <c r="C25" s="22" t="s">
        <v>60</v>
      </c>
      <c r="D25" s="13"/>
      <c r="E25" s="13"/>
      <c r="F25" s="35">
        <v>477</v>
      </c>
      <c r="G25" s="13"/>
      <c r="H25" s="3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36">
        <f t="shared" si="0"/>
        <v>477</v>
      </c>
    </row>
    <row r="26" spans="1:38" customFormat="1" ht="15" hidden="1" x14ac:dyDescent="0.25">
      <c r="A26" s="13" t="s">
        <v>180</v>
      </c>
      <c r="B26" s="22" t="s">
        <v>61</v>
      </c>
      <c r="C26" s="22" t="s">
        <v>62</v>
      </c>
      <c r="D26" s="13"/>
      <c r="E26" s="13"/>
      <c r="F26" s="35">
        <f>387+6</f>
        <v>393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36">
        <f t="shared" si="0"/>
        <v>393</v>
      </c>
    </row>
    <row r="27" spans="1:38" customFormat="1" ht="15" hidden="1" x14ac:dyDescent="0.25">
      <c r="A27" s="13" t="s">
        <v>182</v>
      </c>
      <c r="B27" s="22" t="s">
        <v>63</v>
      </c>
      <c r="C27" s="22" t="s">
        <v>64</v>
      </c>
      <c r="D27" s="13"/>
      <c r="E27" s="13"/>
      <c r="F27" s="35">
        <v>12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36">
        <f t="shared" si="0"/>
        <v>12</v>
      </c>
    </row>
    <row r="28" spans="1:38" customFormat="1" ht="15" hidden="1" x14ac:dyDescent="0.25">
      <c r="A28" s="13" t="s">
        <v>182</v>
      </c>
      <c r="B28" s="22" t="s">
        <v>65</v>
      </c>
      <c r="C28" s="22" t="s">
        <v>66</v>
      </c>
      <c r="D28" s="13"/>
      <c r="E28" s="13"/>
      <c r="F28" s="35">
        <v>9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36">
        <f t="shared" si="0"/>
        <v>9</v>
      </c>
    </row>
    <row r="29" spans="1:38" customFormat="1" ht="15" hidden="1" x14ac:dyDescent="0.25">
      <c r="A29" s="13" t="s">
        <v>180</v>
      </c>
      <c r="B29" s="22" t="s">
        <v>67</v>
      </c>
      <c r="C29" s="22" t="s">
        <v>68</v>
      </c>
      <c r="D29" s="13"/>
      <c r="E29" s="13"/>
      <c r="F29" s="35">
        <v>8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36">
        <f t="shared" si="0"/>
        <v>8</v>
      </c>
    </row>
    <row r="30" spans="1:38" customFormat="1" ht="15" hidden="1" x14ac:dyDescent="0.25">
      <c r="A30" s="13" t="s">
        <v>182</v>
      </c>
      <c r="B30" s="22" t="s">
        <v>69</v>
      </c>
      <c r="C30" s="22" t="s">
        <v>70</v>
      </c>
      <c r="D30" s="13"/>
      <c r="E30" s="13"/>
      <c r="F30" s="35">
        <v>9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36">
        <f t="shared" si="0"/>
        <v>9</v>
      </c>
    </row>
    <row r="31" spans="1:38" customFormat="1" ht="15" hidden="1" x14ac:dyDescent="0.25">
      <c r="A31" s="13" t="s">
        <v>182</v>
      </c>
      <c r="B31" s="22" t="s">
        <v>71</v>
      </c>
      <c r="C31" s="22" t="s">
        <v>72</v>
      </c>
      <c r="D31" s="13"/>
      <c r="E31" s="13"/>
      <c r="F31" s="35">
        <v>9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36">
        <f t="shared" si="0"/>
        <v>9</v>
      </c>
    </row>
    <row r="32" spans="1:38" customFormat="1" ht="15" hidden="1" x14ac:dyDescent="0.25">
      <c r="A32" s="13" t="s">
        <v>182</v>
      </c>
      <c r="B32" s="22" t="s">
        <v>73</v>
      </c>
      <c r="C32" s="22" t="s">
        <v>74</v>
      </c>
      <c r="D32" s="13"/>
      <c r="E32" s="13"/>
      <c r="F32" s="35">
        <v>12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36">
        <f t="shared" si="0"/>
        <v>12</v>
      </c>
    </row>
    <row r="33" spans="1:38" customFormat="1" ht="15" hidden="1" x14ac:dyDescent="0.25">
      <c r="A33" s="13" t="s">
        <v>182</v>
      </c>
      <c r="B33" s="22" t="s">
        <v>75</v>
      </c>
      <c r="C33" s="22" t="s">
        <v>76</v>
      </c>
      <c r="D33" s="13"/>
      <c r="E33" s="13"/>
      <c r="F33" s="35">
        <v>2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36">
        <f t="shared" si="0"/>
        <v>2</v>
      </c>
    </row>
    <row r="34" spans="1:38" customFormat="1" ht="15" hidden="1" x14ac:dyDescent="0.25">
      <c r="A34" s="13" t="s">
        <v>180</v>
      </c>
      <c r="B34" s="22" t="s">
        <v>77</v>
      </c>
      <c r="C34" s="22" t="s">
        <v>78</v>
      </c>
      <c r="D34" s="13"/>
      <c r="E34" s="13"/>
      <c r="F34" s="35">
        <v>410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36">
        <f t="shared" si="0"/>
        <v>410</v>
      </c>
    </row>
    <row r="35" spans="1:38" customFormat="1" ht="15" hidden="1" x14ac:dyDescent="0.25">
      <c r="A35" s="13" t="s">
        <v>182</v>
      </c>
      <c r="B35" s="22" t="s">
        <v>79</v>
      </c>
      <c r="C35" s="22" t="s">
        <v>80</v>
      </c>
      <c r="D35" s="13"/>
      <c r="E35" s="13"/>
      <c r="F35" s="35">
        <v>7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36">
        <f t="shared" si="0"/>
        <v>7</v>
      </c>
    </row>
    <row r="36" spans="1:38" customFormat="1" ht="15" hidden="1" x14ac:dyDescent="0.25">
      <c r="A36" s="13" t="s">
        <v>182</v>
      </c>
      <c r="B36" s="22" t="s">
        <v>81</v>
      </c>
      <c r="C36" s="22" t="s">
        <v>82</v>
      </c>
      <c r="D36" s="13"/>
      <c r="E36" s="13"/>
      <c r="F36" s="35">
        <v>12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36">
        <f t="shared" si="0"/>
        <v>12</v>
      </c>
    </row>
    <row r="37" spans="1:38" customFormat="1" ht="15" hidden="1" x14ac:dyDescent="0.25">
      <c r="A37" s="13" t="s">
        <v>182</v>
      </c>
      <c r="B37" s="22" t="s">
        <v>83</v>
      </c>
      <c r="C37" s="22" t="s">
        <v>84</v>
      </c>
      <c r="D37" s="13"/>
      <c r="E37" s="13"/>
      <c r="F37" s="35">
        <v>9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36">
        <f t="shared" si="0"/>
        <v>9</v>
      </c>
    </row>
    <row r="38" spans="1:38" customFormat="1" ht="15" hidden="1" x14ac:dyDescent="0.25">
      <c r="A38" s="13" t="s">
        <v>182</v>
      </c>
      <c r="B38" s="22" t="s">
        <v>85</v>
      </c>
      <c r="C38" s="22" t="s">
        <v>86</v>
      </c>
      <c r="D38" s="13"/>
      <c r="E38" s="13"/>
      <c r="F38" s="35">
        <v>9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36">
        <f t="shared" si="0"/>
        <v>9</v>
      </c>
    </row>
    <row r="39" spans="1:38" customFormat="1" ht="15" hidden="1" x14ac:dyDescent="0.25">
      <c r="A39" s="13" t="s">
        <v>182</v>
      </c>
      <c r="B39" s="22" t="s">
        <v>87</v>
      </c>
      <c r="C39" s="22" t="s">
        <v>88</v>
      </c>
      <c r="D39" s="13"/>
      <c r="E39" s="13"/>
      <c r="F39" s="35">
        <v>9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36">
        <f t="shared" si="0"/>
        <v>9</v>
      </c>
    </row>
    <row r="40" spans="1:38" customFormat="1" ht="15" hidden="1" x14ac:dyDescent="0.25">
      <c r="A40" s="13" t="s">
        <v>182</v>
      </c>
      <c r="B40" s="22" t="s">
        <v>89</v>
      </c>
      <c r="C40" s="22" t="s">
        <v>90</v>
      </c>
      <c r="D40" s="13"/>
      <c r="E40" s="13"/>
      <c r="F40" s="35">
        <v>83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36">
        <f t="shared" si="0"/>
        <v>83</v>
      </c>
    </row>
    <row r="41" spans="1:38" customFormat="1" ht="15" hidden="1" x14ac:dyDescent="0.25">
      <c r="A41" s="13" t="s">
        <v>182</v>
      </c>
      <c r="B41" s="22" t="s">
        <v>91</v>
      </c>
      <c r="C41" s="22" t="s">
        <v>92</v>
      </c>
      <c r="D41" s="13"/>
      <c r="E41" s="13"/>
      <c r="F41" s="35">
        <v>10</v>
      </c>
      <c r="G41" s="13"/>
      <c r="H41" s="13"/>
      <c r="I41" s="13"/>
      <c r="J41" s="13"/>
      <c r="K41" s="13"/>
      <c r="L41" s="13"/>
      <c r="M41" s="13"/>
      <c r="N41" s="13"/>
      <c r="O41" s="13">
        <v>-1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36">
        <f t="shared" si="0"/>
        <v>9</v>
      </c>
    </row>
    <row r="42" spans="1:38" customFormat="1" ht="15" x14ac:dyDescent="0.25">
      <c r="A42" s="13" t="s">
        <v>182</v>
      </c>
      <c r="B42" s="22" t="s">
        <v>93</v>
      </c>
      <c r="C42" s="22" t="s">
        <v>94</v>
      </c>
      <c r="D42" s="13"/>
      <c r="E42" s="13"/>
      <c r="F42" s="35">
        <f>383-212</f>
        <v>171</v>
      </c>
      <c r="G42" s="13"/>
      <c r="H42" s="13"/>
      <c r="I42" s="13">
        <v>-80</v>
      </c>
      <c r="J42" s="13">
        <v>-21</v>
      </c>
      <c r="K42" s="13"/>
      <c r="L42" s="13">
        <v>-29</v>
      </c>
      <c r="M42" s="13"/>
      <c r="N42" s="13"/>
      <c r="O42" s="13">
        <v>-6</v>
      </c>
      <c r="P42" s="13"/>
      <c r="Q42" s="32">
        <v>300</v>
      </c>
      <c r="R42" s="13">
        <v>-51</v>
      </c>
      <c r="S42" s="13"/>
      <c r="T42" s="13"/>
      <c r="U42" s="13"/>
      <c r="V42" s="13"/>
      <c r="W42" s="13"/>
      <c r="X42" s="13"/>
      <c r="Y42" s="13">
        <v>-20</v>
      </c>
      <c r="Z42" s="13"/>
      <c r="AA42" s="13">
        <v>-3</v>
      </c>
      <c r="AB42" s="13"/>
      <c r="AC42" s="13">
        <v>-20</v>
      </c>
      <c r="AD42" s="13"/>
      <c r="AE42" s="13"/>
      <c r="AF42" s="13"/>
      <c r="AG42" s="13"/>
      <c r="AH42" s="13">
        <v>-11</v>
      </c>
      <c r="AI42" s="13">
        <v>-6</v>
      </c>
      <c r="AJ42" s="13">
        <f>-69+-7</f>
        <v>-76</v>
      </c>
      <c r="AK42" s="13"/>
      <c r="AL42" s="36">
        <f t="shared" si="0"/>
        <v>148</v>
      </c>
    </row>
    <row r="43" spans="1:38" customFormat="1" ht="15" x14ac:dyDescent="0.25">
      <c r="A43" s="13" t="s">
        <v>182</v>
      </c>
      <c r="B43" s="22" t="s">
        <v>95</v>
      </c>
      <c r="C43" s="22" t="s">
        <v>96</v>
      </c>
      <c r="D43" s="13"/>
      <c r="E43" s="13"/>
      <c r="F43" s="35">
        <f>142+61</f>
        <v>203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32">
        <v>10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>
        <v>-56</v>
      </c>
      <c r="AJ43" s="13"/>
      <c r="AK43" s="13"/>
      <c r="AL43" s="36">
        <f t="shared" si="0"/>
        <v>157</v>
      </c>
    </row>
    <row r="44" spans="1:38" customFormat="1" ht="15" x14ac:dyDescent="0.25">
      <c r="A44" s="13" t="s">
        <v>182</v>
      </c>
      <c r="B44" s="22" t="s">
        <v>97</v>
      </c>
      <c r="C44" s="22" t="s">
        <v>98</v>
      </c>
      <c r="D44" s="13"/>
      <c r="E44" s="13"/>
      <c r="F44" s="35">
        <v>63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36">
        <f t="shared" si="0"/>
        <v>63</v>
      </c>
    </row>
    <row r="45" spans="1:38" customFormat="1" ht="15" hidden="1" x14ac:dyDescent="0.25">
      <c r="A45" s="13" t="s">
        <v>182</v>
      </c>
      <c r="B45" s="22"/>
      <c r="C45" s="22" t="s">
        <v>99</v>
      </c>
      <c r="D45" s="13"/>
      <c r="E45" s="13"/>
      <c r="F45" s="35">
        <v>39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36">
        <f t="shared" si="0"/>
        <v>39</v>
      </c>
    </row>
    <row r="46" spans="1:38" customFormat="1" ht="15" hidden="1" x14ac:dyDescent="0.25">
      <c r="A46" s="13" t="s">
        <v>182</v>
      </c>
      <c r="B46" s="22" t="s">
        <v>100</v>
      </c>
      <c r="C46" s="22" t="s">
        <v>101</v>
      </c>
      <c r="D46" s="13"/>
      <c r="E46" s="13"/>
      <c r="F46" s="35">
        <v>66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36">
        <f t="shared" si="0"/>
        <v>66</v>
      </c>
    </row>
    <row r="47" spans="1:38" customFormat="1" ht="15" hidden="1" x14ac:dyDescent="0.25">
      <c r="A47" s="13" t="s">
        <v>182</v>
      </c>
      <c r="B47" s="22" t="s">
        <v>102</v>
      </c>
      <c r="C47" s="22" t="s">
        <v>103</v>
      </c>
      <c r="D47" s="13"/>
      <c r="E47" s="13"/>
      <c r="F47" s="35">
        <v>15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36">
        <f t="shared" si="0"/>
        <v>15</v>
      </c>
    </row>
    <row r="48" spans="1:38" customFormat="1" ht="15" hidden="1" x14ac:dyDescent="0.25">
      <c r="A48" s="13" t="s">
        <v>182</v>
      </c>
      <c r="B48" s="22" t="s">
        <v>104</v>
      </c>
      <c r="C48" s="22" t="s">
        <v>105</v>
      </c>
      <c r="D48" s="13"/>
      <c r="E48" s="13"/>
      <c r="F48" s="35">
        <f>147+41+13</f>
        <v>201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>
        <v>-3</v>
      </c>
      <c r="AB48" s="13"/>
      <c r="AC48" s="13"/>
      <c r="AD48" s="13"/>
      <c r="AE48" s="13"/>
      <c r="AF48" s="13"/>
      <c r="AG48" s="13"/>
      <c r="AH48" s="13">
        <v>-11</v>
      </c>
      <c r="AI48" s="13">
        <v>-7</v>
      </c>
      <c r="AJ48" s="13">
        <v>-7</v>
      </c>
      <c r="AK48" s="13"/>
      <c r="AL48" s="36">
        <f t="shared" si="0"/>
        <v>173</v>
      </c>
    </row>
    <row r="49" spans="1:38" customFormat="1" ht="15" hidden="1" x14ac:dyDescent="0.25">
      <c r="A49" s="13"/>
      <c r="B49" s="22" t="s">
        <v>106</v>
      </c>
      <c r="C49" s="22" t="s">
        <v>107</v>
      </c>
      <c r="D49" s="13"/>
      <c r="E49" s="13"/>
      <c r="F49" s="35">
        <v>0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36">
        <f t="shared" si="0"/>
        <v>0</v>
      </c>
    </row>
    <row r="50" spans="1:38" customFormat="1" ht="15" hidden="1" x14ac:dyDescent="0.25">
      <c r="A50" s="13" t="s">
        <v>182</v>
      </c>
      <c r="B50" s="22" t="s">
        <v>108</v>
      </c>
      <c r="C50" s="22" t="s">
        <v>109</v>
      </c>
      <c r="D50" s="13"/>
      <c r="E50" s="13"/>
      <c r="F50" s="35">
        <f>297-2</f>
        <v>295</v>
      </c>
      <c r="G50" s="13"/>
      <c r="H50" s="13"/>
      <c r="I50" s="13"/>
      <c r="J50" s="13"/>
      <c r="K50" s="13"/>
      <c r="L50" s="13">
        <v>-29</v>
      </c>
      <c r="M50" s="13"/>
      <c r="N50" s="13"/>
      <c r="O50" s="13"/>
      <c r="P50" s="13"/>
      <c r="Q50" s="13"/>
      <c r="R50" s="13"/>
      <c r="S50" s="13">
        <v>-12</v>
      </c>
      <c r="T50" s="13"/>
      <c r="U50" s="13"/>
      <c r="V50" s="13"/>
      <c r="W50" s="13"/>
      <c r="X50" s="13"/>
      <c r="Y50" s="13">
        <v>-11</v>
      </c>
      <c r="Z50" s="13"/>
      <c r="AA50" s="13"/>
      <c r="AB50" s="13"/>
      <c r="AC50" s="13">
        <v>-1</v>
      </c>
      <c r="AD50" s="13"/>
      <c r="AE50" s="13"/>
      <c r="AF50" s="13"/>
      <c r="AG50" s="13"/>
      <c r="AH50" s="13"/>
      <c r="AI50" s="13">
        <f>-56+-26</f>
        <v>-82</v>
      </c>
      <c r="AJ50" s="13"/>
      <c r="AK50" s="13"/>
      <c r="AL50" s="36">
        <f t="shared" si="0"/>
        <v>160</v>
      </c>
    </row>
    <row r="51" spans="1:38" customFormat="1" ht="15" hidden="1" x14ac:dyDescent="0.25">
      <c r="A51" s="13"/>
      <c r="B51" s="22" t="s">
        <v>110</v>
      </c>
      <c r="C51" s="22" t="s">
        <v>111</v>
      </c>
      <c r="D51" s="13"/>
      <c r="E51" s="13"/>
      <c r="F51" s="35">
        <v>0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36">
        <f t="shared" si="0"/>
        <v>0</v>
      </c>
    </row>
    <row r="52" spans="1:38" customFormat="1" ht="15" hidden="1" x14ac:dyDescent="0.25">
      <c r="A52" s="13"/>
      <c r="B52" s="22" t="s">
        <v>112</v>
      </c>
      <c r="C52" s="22" t="s">
        <v>113</v>
      </c>
      <c r="D52" s="13"/>
      <c r="E52" s="13"/>
      <c r="F52" s="35">
        <v>0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36">
        <f t="shared" si="0"/>
        <v>0</v>
      </c>
    </row>
    <row r="53" spans="1:38" customFormat="1" ht="15" hidden="1" x14ac:dyDescent="0.25">
      <c r="A53" s="13" t="s">
        <v>182</v>
      </c>
      <c r="B53" s="22" t="s">
        <v>114</v>
      </c>
      <c r="C53" s="22" t="s">
        <v>115</v>
      </c>
      <c r="D53" s="13"/>
      <c r="E53" s="13"/>
      <c r="F53" s="35">
        <v>0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36">
        <f t="shared" si="0"/>
        <v>0</v>
      </c>
    </row>
    <row r="54" spans="1:38" customFormat="1" ht="15" hidden="1" x14ac:dyDescent="0.25">
      <c r="A54" s="13" t="s">
        <v>182</v>
      </c>
      <c r="B54" s="22" t="s">
        <v>116</v>
      </c>
      <c r="C54" s="22" t="s">
        <v>117</v>
      </c>
      <c r="D54" s="13"/>
      <c r="E54" s="13"/>
      <c r="F54" s="35">
        <v>109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36">
        <f t="shared" si="0"/>
        <v>109</v>
      </c>
    </row>
    <row r="55" spans="1:38" customFormat="1" ht="15" hidden="1" x14ac:dyDescent="0.25">
      <c r="A55" s="13"/>
      <c r="B55" s="22" t="s">
        <v>118</v>
      </c>
      <c r="C55" s="22" t="s">
        <v>119</v>
      </c>
      <c r="D55" s="13"/>
      <c r="E55" s="13"/>
      <c r="F55" s="35">
        <v>0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36">
        <f t="shared" si="0"/>
        <v>0</v>
      </c>
    </row>
    <row r="56" spans="1:38" customFormat="1" ht="15" hidden="1" x14ac:dyDescent="0.25">
      <c r="A56" s="13"/>
      <c r="B56" s="22" t="s">
        <v>120</v>
      </c>
      <c r="C56" s="22" t="s">
        <v>121</v>
      </c>
      <c r="D56" s="13"/>
      <c r="E56" s="13"/>
      <c r="F56" s="35">
        <v>0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36">
        <f t="shared" si="0"/>
        <v>0</v>
      </c>
    </row>
    <row r="57" spans="1:38" customFormat="1" ht="15" hidden="1" x14ac:dyDescent="0.25">
      <c r="A57" s="13" t="s">
        <v>182</v>
      </c>
      <c r="B57" s="22" t="s">
        <v>122</v>
      </c>
      <c r="C57" s="22" t="s">
        <v>123</v>
      </c>
      <c r="D57" s="13"/>
      <c r="E57" s="13"/>
      <c r="F57" s="35">
        <v>59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36">
        <f t="shared" si="0"/>
        <v>59</v>
      </c>
    </row>
    <row r="58" spans="1:38" customFormat="1" ht="15" hidden="1" x14ac:dyDescent="0.25">
      <c r="A58" s="13"/>
      <c r="B58" s="22" t="s">
        <v>124</v>
      </c>
      <c r="C58" s="22" t="s">
        <v>125</v>
      </c>
      <c r="D58" s="13"/>
      <c r="E58" s="13"/>
      <c r="F58" s="35">
        <v>0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36">
        <f t="shared" si="0"/>
        <v>0</v>
      </c>
    </row>
    <row r="59" spans="1:38" customFormat="1" ht="15" hidden="1" x14ac:dyDescent="0.25">
      <c r="A59" s="13"/>
      <c r="B59" s="22" t="s">
        <v>126</v>
      </c>
      <c r="C59" s="22" t="s">
        <v>127</v>
      </c>
      <c r="D59" s="13"/>
      <c r="E59" s="13"/>
      <c r="F59" s="35">
        <v>0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36">
        <f t="shared" si="0"/>
        <v>0</v>
      </c>
    </row>
    <row r="60" spans="1:38" customFormat="1" ht="15" hidden="1" x14ac:dyDescent="0.25">
      <c r="A60" s="13" t="s">
        <v>182</v>
      </c>
      <c r="B60" s="22" t="s">
        <v>128</v>
      </c>
      <c r="C60" s="22" t="s">
        <v>129</v>
      </c>
      <c r="D60" s="13"/>
      <c r="E60" s="13"/>
      <c r="F60" s="35">
        <f>12-3</f>
        <v>9</v>
      </c>
      <c r="G60" s="13"/>
      <c r="H60" s="13"/>
      <c r="I60" s="13"/>
      <c r="J60" s="13"/>
      <c r="K60" s="13"/>
      <c r="L60" s="13"/>
      <c r="M60" s="13"/>
      <c r="N60" s="1"/>
      <c r="O60" s="13">
        <v>-6</v>
      </c>
      <c r="P60" s="13"/>
      <c r="Q60" s="13"/>
      <c r="R60" s="32">
        <v>100</v>
      </c>
      <c r="S60" s="13">
        <v>-6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v>-69</v>
      </c>
      <c r="AK60" s="13"/>
      <c r="AL60" s="36">
        <f t="shared" si="0"/>
        <v>28</v>
      </c>
    </row>
    <row r="61" spans="1:38" customFormat="1" ht="15" hidden="1" x14ac:dyDescent="0.25">
      <c r="A61" s="13" t="s">
        <v>182</v>
      </c>
      <c r="B61" s="22" t="s">
        <v>130</v>
      </c>
      <c r="C61" s="22" t="s">
        <v>131</v>
      </c>
      <c r="D61" s="13"/>
      <c r="E61" s="13"/>
      <c r="F61" s="35">
        <v>119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36">
        <f t="shared" si="0"/>
        <v>119</v>
      </c>
    </row>
    <row r="62" spans="1:38" customFormat="1" ht="15" hidden="1" x14ac:dyDescent="0.25">
      <c r="A62" s="13" t="s">
        <v>182</v>
      </c>
      <c r="B62" s="22" t="s">
        <v>132</v>
      </c>
      <c r="C62" s="22" t="s">
        <v>133</v>
      </c>
      <c r="D62" s="13"/>
      <c r="E62" s="13"/>
      <c r="F62" s="35">
        <v>508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36">
        <f t="shared" si="0"/>
        <v>508</v>
      </c>
    </row>
    <row r="63" spans="1:38" customFormat="1" ht="15" hidden="1" x14ac:dyDescent="0.25">
      <c r="A63" s="13"/>
      <c r="B63" s="22" t="s">
        <v>134</v>
      </c>
      <c r="C63" s="22" t="s">
        <v>135</v>
      </c>
      <c r="D63" s="13"/>
      <c r="E63" s="13"/>
      <c r="F63" s="35">
        <v>0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36">
        <f t="shared" si="0"/>
        <v>0</v>
      </c>
    </row>
    <row r="64" spans="1:38" customFormat="1" ht="15" hidden="1" x14ac:dyDescent="0.25">
      <c r="A64" s="13"/>
      <c r="B64" s="22" t="s">
        <v>136</v>
      </c>
      <c r="C64" s="22" t="s">
        <v>137</v>
      </c>
      <c r="D64" s="13"/>
      <c r="E64" s="13"/>
      <c r="F64" s="35">
        <v>0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36">
        <f t="shared" si="0"/>
        <v>0</v>
      </c>
    </row>
    <row r="65" spans="1:38" customFormat="1" ht="15" hidden="1" x14ac:dyDescent="0.25">
      <c r="A65" s="13"/>
      <c r="B65" s="22" t="s">
        <v>138</v>
      </c>
      <c r="C65" s="22" t="s">
        <v>139</v>
      </c>
      <c r="D65" s="13"/>
      <c r="E65" s="13"/>
      <c r="F65" s="35">
        <v>0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36">
        <f t="shared" si="0"/>
        <v>0</v>
      </c>
    </row>
    <row r="66" spans="1:38" customFormat="1" ht="15" hidden="1" x14ac:dyDescent="0.25">
      <c r="A66" s="13" t="s">
        <v>182</v>
      </c>
      <c r="B66" s="22" t="s">
        <v>140</v>
      </c>
      <c r="C66" s="22" t="s">
        <v>141</v>
      </c>
      <c r="D66" s="13"/>
      <c r="E66" s="13"/>
      <c r="F66" s="35">
        <v>20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36">
        <f t="shared" si="0"/>
        <v>20</v>
      </c>
    </row>
    <row r="67" spans="1:38" customFormat="1" ht="15" hidden="1" x14ac:dyDescent="0.25">
      <c r="A67" s="13"/>
      <c r="B67" s="22" t="s">
        <v>142</v>
      </c>
      <c r="C67" s="22" t="s">
        <v>143</v>
      </c>
      <c r="D67" s="13"/>
      <c r="E67" s="13"/>
      <c r="F67" s="35">
        <v>0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36">
        <f t="shared" si="0"/>
        <v>0</v>
      </c>
    </row>
    <row r="68" spans="1:38" customFormat="1" ht="15" hidden="1" x14ac:dyDescent="0.25">
      <c r="A68" s="13" t="s">
        <v>182</v>
      </c>
      <c r="B68" s="22" t="s">
        <v>144</v>
      </c>
      <c r="C68" s="22" t="s">
        <v>145</v>
      </c>
      <c r="D68" s="13"/>
      <c r="E68" s="13"/>
      <c r="F68" s="35">
        <v>17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36">
        <f t="shared" si="0"/>
        <v>17</v>
      </c>
    </row>
    <row r="69" spans="1:38" customFormat="1" ht="15" hidden="1" x14ac:dyDescent="0.25">
      <c r="A69" s="13" t="s">
        <v>182</v>
      </c>
      <c r="B69" s="22" t="s">
        <v>146</v>
      </c>
      <c r="C69" s="22" t="s">
        <v>147</v>
      </c>
      <c r="D69" s="13"/>
      <c r="E69" s="13"/>
      <c r="F69" s="35">
        <v>3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36">
        <f t="shared" si="0"/>
        <v>3</v>
      </c>
    </row>
    <row r="70" spans="1:38" customFormat="1" ht="15" hidden="1" x14ac:dyDescent="0.25">
      <c r="A70" s="13" t="s">
        <v>182</v>
      </c>
      <c r="B70" s="22" t="s">
        <v>148</v>
      </c>
      <c r="C70" s="22" t="s">
        <v>149</v>
      </c>
      <c r="D70" s="13"/>
      <c r="E70" s="13"/>
      <c r="F70" s="35">
        <v>54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36">
        <f t="shared" si="0"/>
        <v>54</v>
      </c>
    </row>
    <row r="71" spans="1:38" customFormat="1" ht="15" hidden="1" x14ac:dyDescent="0.25">
      <c r="A71" s="13"/>
      <c r="B71" s="22" t="s">
        <v>150</v>
      </c>
      <c r="C71" s="22" t="s">
        <v>151</v>
      </c>
      <c r="D71" s="13"/>
      <c r="E71" s="13"/>
      <c r="F71" s="35">
        <v>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36">
        <f t="shared" si="0"/>
        <v>0</v>
      </c>
    </row>
    <row r="72" spans="1:38" customFormat="1" ht="15" hidden="1" x14ac:dyDescent="0.25">
      <c r="A72" s="13"/>
      <c r="B72" s="22" t="s">
        <v>152</v>
      </c>
      <c r="C72" s="22" t="s">
        <v>153</v>
      </c>
      <c r="D72" s="13"/>
      <c r="E72" s="13"/>
      <c r="F72" s="35">
        <v>0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36">
        <f t="shared" si="0"/>
        <v>0</v>
      </c>
    </row>
    <row r="73" spans="1:38" customFormat="1" ht="15" hidden="1" x14ac:dyDescent="0.25">
      <c r="A73" s="13"/>
      <c r="B73" s="22" t="s">
        <v>154</v>
      </c>
      <c r="C73" s="22" t="s">
        <v>155</v>
      </c>
      <c r="D73" s="13"/>
      <c r="E73" s="13"/>
      <c r="F73" s="35">
        <v>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36">
        <f t="shared" si="0"/>
        <v>0</v>
      </c>
    </row>
    <row r="74" spans="1:38" customFormat="1" ht="15" hidden="1" x14ac:dyDescent="0.25">
      <c r="A74" s="13"/>
      <c r="B74" s="22" t="s">
        <v>156</v>
      </c>
      <c r="C74" s="22" t="s">
        <v>157</v>
      </c>
      <c r="D74" s="13"/>
      <c r="E74" s="13"/>
      <c r="F74" s="35">
        <v>0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36">
        <f t="shared" si="0"/>
        <v>0</v>
      </c>
    </row>
    <row r="75" spans="1:38" customFormat="1" ht="15" hidden="1" x14ac:dyDescent="0.25">
      <c r="A75" s="13"/>
      <c r="B75" s="22" t="s">
        <v>158</v>
      </c>
      <c r="C75" s="22" t="s">
        <v>159</v>
      </c>
      <c r="D75" s="13"/>
      <c r="E75" s="13"/>
      <c r="F75" s="35">
        <v>0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36">
        <f t="shared" si="0"/>
        <v>0</v>
      </c>
    </row>
    <row r="76" spans="1:38" customFormat="1" ht="15" hidden="1" x14ac:dyDescent="0.25">
      <c r="A76" s="13" t="s">
        <v>182</v>
      </c>
      <c r="B76" s="22" t="s">
        <v>160</v>
      </c>
      <c r="C76" s="22" t="s">
        <v>161</v>
      </c>
      <c r="D76" s="13"/>
      <c r="E76" s="13"/>
      <c r="F76" s="35">
        <f>454-81</f>
        <v>373</v>
      </c>
      <c r="G76" s="13"/>
      <c r="H76" s="13">
        <v>-12</v>
      </c>
      <c r="I76" s="13"/>
      <c r="J76" s="13">
        <v>-4</v>
      </c>
      <c r="K76" s="13"/>
      <c r="L76" s="13"/>
      <c r="M76" s="13"/>
      <c r="N76" s="13">
        <v>-37</v>
      </c>
      <c r="O76" s="13">
        <v>-6</v>
      </c>
      <c r="P76" s="13"/>
      <c r="Q76" s="13"/>
      <c r="R76" s="13">
        <v>-71</v>
      </c>
      <c r="S76" s="13">
        <v>-12</v>
      </c>
      <c r="T76" s="13"/>
      <c r="U76" s="13"/>
      <c r="V76" s="13">
        <v>-14</v>
      </c>
      <c r="W76" s="13"/>
      <c r="X76" s="13"/>
      <c r="Y76" s="13"/>
      <c r="Z76" s="13"/>
      <c r="AA76" s="13"/>
      <c r="AB76" s="13">
        <v>-13</v>
      </c>
      <c r="AC76" s="13">
        <v>-20</v>
      </c>
      <c r="AD76" s="13"/>
      <c r="AE76" s="13"/>
      <c r="AF76" s="13"/>
      <c r="AG76" s="13"/>
      <c r="AH76" s="13"/>
      <c r="AI76" s="13"/>
      <c r="AJ76" s="13">
        <v>-7</v>
      </c>
      <c r="AK76" s="13"/>
      <c r="AL76" s="36">
        <f t="shared" ref="AL76:AL85" si="1">F76+SUM(G76:AK76)</f>
        <v>177</v>
      </c>
    </row>
    <row r="77" spans="1:38" customFormat="1" ht="15" hidden="1" x14ac:dyDescent="0.25">
      <c r="A77" s="13" t="s">
        <v>182</v>
      </c>
      <c r="B77" s="22" t="s">
        <v>162</v>
      </c>
      <c r="C77" s="22" t="s">
        <v>163</v>
      </c>
      <c r="D77" s="13"/>
      <c r="E77" s="13"/>
      <c r="F77" s="35">
        <v>31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36">
        <f t="shared" si="1"/>
        <v>31</v>
      </c>
    </row>
    <row r="78" spans="1:38" customFormat="1" ht="15" hidden="1" x14ac:dyDescent="0.25">
      <c r="A78" s="13" t="s">
        <v>182</v>
      </c>
      <c r="B78" s="22" t="s">
        <v>164</v>
      </c>
      <c r="C78" s="22" t="s">
        <v>165</v>
      </c>
      <c r="D78" s="13"/>
      <c r="E78" s="13"/>
      <c r="F78" s="35">
        <f>136-1</f>
        <v>135</v>
      </c>
      <c r="G78" s="13"/>
      <c r="H78" s="13"/>
      <c r="I78" s="13"/>
      <c r="J78" s="13"/>
      <c r="K78" s="13"/>
      <c r="L78" s="13"/>
      <c r="M78" s="13"/>
      <c r="N78" s="13"/>
      <c r="O78" s="13">
        <v>-6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36">
        <f t="shared" si="1"/>
        <v>129</v>
      </c>
    </row>
    <row r="79" spans="1:38" customFormat="1" ht="15" hidden="1" x14ac:dyDescent="0.25">
      <c r="A79" s="13" t="s">
        <v>182</v>
      </c>
      <c r="B79" s="22" t="s">
        <v>166</v>
      </c>
      <c r="C79" s="22" t="s">
        <v>167</v>
      </c>
      <c r="D79" s="13"/>
      <c r="E79" s="13"/>
      <c r="F79" s="35">
        <v>133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36">
        <f t="shared" si="1"/>
        <v>133</v>
      </c>
    </row>
    <row r="80" spans="1:38" customFormat="1" ht="15" hidden="1" x14ac:dyDescent="0.25">
      <c r="A80" s="13" t="s">
        <v>182</v>
      </c>
      <c r="B80" s="22" t="s">
        <v>168</v>
      </c>
      <c r="C80" s="22" t="s">
        <v>169</v>
      </c>
      <c r="D80" s="13"/>
      <c r="E80" s="13"/>
      <c r="F80" s="35">
        <f>510-5</f>
        <v>505</v>
      </c>
      <c r="G80" s="13"/>
      <c r="H80" s="13"/>
      <c r="I80" s="13"/>
      <c r="J80" s="13"/>
      <c r="K80" s="13"/>
      <c r="L80" s="13"/>
      <c r="M80" s="13"/>
      <c r="N80" s="13"/>
      <c r="O80" s="13">
        <v>-6</v>
      </c>
      <c r="P80" s="13"/>
      <c r="Q80" s="13"/>
      <c r="R80" s="13"/>
      <c r="S80" s="13">
        <v>-12</v>
      </c>
      <c r="T80" s="13"/>
      <c r="U80" s="13"/>
      <c r="V80" s="13"/>
      <c r="W80" s="13"/>
      <c r="X80" s="13"/>
      <c r="Y80" s="13">
        <v>-37</v>
      </c>
      <c r="Z80" s="13"/>
      <c r="AA80" s="13"/>
      <c r="AB80" s="13">
        <v>-12</v>
      </c>
      <c r="AC80" s="13">
        <v>-20</v>
      </c>
      <c r="AD80" s="13"/>
      <c r="AE80" s="13"/>
      <c r="AF80" s="13"/>
      <c r="AG80" s="13"/>
      <c r="AH80" s="13">
        <v>-10</v>
      </c>
      <c r="AI80" s="13"/>
      <c r="AJ80" s="13">
        <v>-7</v>
      </c>
      <c r="AK80" s="13">
        <v>-1</v>
      </c>
      <c r="AL80" s="36">
        <f t="shared" si="1"/>
        <v>400</v>
      </c>
    </row>
    <row r="81" spans="1:38" customFormat="1" ht="15" hidden="1" x14ac:dyDescent="0.25">
      <c r="A81" s="13" t="s">
        <v>182</v>
      </c>
      <c r="B81" s="22" t="s">
        <v>170</v>
      </c>
      <c r="C81" s="22" t="s">
        <v>171</v>
      </c>
      <c r="D81" s="13"/>
      <c r="E81" s="13"/>
      <c r="F81" s="35">
        <v>271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36">
        <f t="shared" si="1"/>
        <v>271</v>
      </c>
    </row>
    <row r="82" spans="1:38" customFormat="1" ht="15" hidden="1" x14ac:dyDescent="0.25">
      <c r="A82" s="13" t="s">
        <v>182</v>
      </c>
      <c r="B82" s="22" t="s">
        <v>172</v>
      </c>
      <c r="C82" s="22" t="s">
        <v>173</v>
      </c>
      <c r="D82" s="13"/>
      <c r="E82" s="13"/>
      <c r="F82" s="35">
        <v>249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36">
        <f t="shared" si="1"/>
        <v>249</v>
      </c>
    </row>
    <row r="83" spans="1:38" customFormat="1" ht="15" hidden="1" x14ac:dyDescent="0.25">
      <c r="A83" s="13" t="s">
        <v>182</v>
      </c>
      <c r="B83" s="22" t="s">
        <v>174</v>
      </c>
      <c r="C83" s="22" t="s">
        <v>175</v>
      </c>
      <c r="D83" s="13"/>
      <c r="E83" s="13"/>
      <c r="F83" s="35">
        <v>53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36">
        <f t="shared" si="1"/>
        <v>53</v>
      </c>
    </row>
    <row r="84" spans="1:38" customFormat="1" ht="15" hidden="1" x14ac:dyDescent="0.25">
      <c r="A84" s="13" t="s">
        <v>182</v>
      </c>
      <c r="B84" s="22" t="s">
        <v>176</v>
      </c>
      <c r="C84" s="22" t="s">
        <v>177</v>
      </c>
      <c r="D84" s="13"/>
      <c r="E84" s="13"/>
      <c r="F84" s="35">
        <v>40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36">
        <f t="shared" si="1"/>
        <v>40</v>
      </c>
    </row>
    <row r="85" spans="1:38" customFormat="1" ht="15" hidden="1" x14ac:dyDescent="0.25">
      <c r="A85" s="13" t="s">
        <v>182</v>
      </c>
      <c r="B85" s="22" t="s">
        <v>178</v>
      </c>
      <c r="C85" s="22" t="s">
        <v>179</v>
      </c>
      <c r="D85" s="13"/>
      <c r="E85" s="13"/>
      <c r="F85" s="35">
        <v>58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36">
        <f t="shared" si="1"/>
        <v>58</v>
      </c>
    </row>
    <row r="86" spans="1:38" customFormat="1" ht="15" x14ac:dyDescent="0.25">
      <c r="A86" s="13"/>
      <c r="B86" s="22"/>
      <c r="C86" s="2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6"/>
    </row>
    <row r="87" spans="1:38" customFormat="1" ht="15" x14ac:dyDescent="0.25">
      <c r="A87" s="13"/>
      <c r="B87" s="22"/>
      <c r="C87" s="2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6"/>
    </row>
    <row r="88" spans="1:38" customFormat="1" ht="15" x14ac:dyDescent="0.25">
      <c r="A88" s="13"/>
      <c r="B88" s="22"/>
      <c r="C88" s="2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6"/>
    </row>
    <row r="89" spans="1:38" customFormat="1" ht="15" x14ac:dyDescent="0.25">
      <c r="A89" s="13"/>
      <c r="B89" s="22"/>
      <c r="C89" s="2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6"/>
    </row>
    <row r="90" spans="1:38" customFormat="1" ht="15" x14ac:dyDescent="0.25">
      <c r="A90" s="13"/>
      <c r="B90" s="22"/>
      <c r="C90" s="2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6"/>
    </row>
    <row r="91" spans="1:38" ht="13.5" thickBot="1" x14ac:dyDescent="0.25"/>
    <row r="92" spans="1:38" ht="79.5" customHeight="1" thickBot="1" x14ac:dyDescent="0.25">
      <c r="B92" s="7" t="s">
        <v>21</v>
      </c>
      <c r="C92" s="20"/>
      <c r="D92" s="20"/>
      <c r="E92" s="8" t="s">
        <v>22</v>
      </c>
      <c r="F92" s="23" t="s">
        <v>23</v>
      </c>
      <c r="G92" s="27" t="s">
        <v>24</v>
      </c>
      <c r="H92" s="28"/>
    </row>
    <row r="93" spans="1:38" ht="16.5" thickBot="1" x14ac:dyDescent="0.25">
      <c r="B93" s="9" t="s">
        <v>25</v>
      </c>
      <c r="C93" s="21"/>
      <c r="D93" s="21"/>
      <c r="E93" s="10"/>
      <c r="F93" s="24"/>
      <c r="G93" s="57"/>
      <c r="H93" s="58"/>
    </row>
    <row r="94" spans="1:38" ht="16.5" thickBot="1" x14ac:dyDescent="0.25">
      <c r="B94" s="9" t="s">
        <v>26</v>
      </c>
      <c r="C94" s="21"/>
      <c r="D94" s="21"/>
      <c r="E94" s="11"/>
      <c r="F94" s="25"/>
      <c r="G94" s="59"/>
      <c r="H94" s="60"/>
    </row>
    <row r="95" spans="1:38" ht="16.5" thickBot="1" x14ac:dyDescent="0.25">
      <c r="B95" s="9" t="s">
        <v>27</v>
      </c>
      <c r="C95" s="21"/>
      <c r="D95" s="21"/>
      <c r="E95" s="12"/>
      <c r="F95" s="26"/>
      <c r="G95" s="61"/>
      <c r="H95" s="62"/>
    </row>
    <row r="96" spans="1:38" ht="15.75" x14ac:dyDescent="0.2">
      <c r="B96" s="63" t="s">
        <v>28</v>
      </c>
      <c r="C96" s="18"/>
      <c r="D96" s="18"/>
      <c r="E96" s="66"/>
      <c r="F96" s="69"/>
      <c r="G96" s="72"/>
      <c r="H96" s="73"/>
    </row>
    <row r="97" spans="2:8" ht="15.75" x14ac:dyDescent="0.2">
      <c r="B97" s="64"/>
      <c r="C97" s="19"/>
      <c r="D97" s="19"/>
      <c r="E97" s="67"/>
      <c r="F97" s="70"/>
      <c r="G97" s="72"/>
      <c r="H97" s="73"/>
    </row>
    <row r="98" spans="2:8" ht="16.5" thickBot="1" x14ac:dyDescent="0.25">
      <c r="B98" s="65"/>
      <c r="C98" s="9"/>
      <c r="D98" s="9"/>
      <c r="E98" s="68"/>
      <c r="F98" s="71"/>
      <c r="G98" s="74"/>
      <c r="H98" s="75"/>
    </row>
  </sheetData>
  <autoFilter ref="A10:AO85" xr:uid="{00000000-0001-0000-0000-000000000000}">
    <filterColumn colId="2">
      <filters>
        <filter val="Keypad - 3.1 - HH (P/E)1"/>
        <filter val="Keypad - 3.1 - HH (P/E)12"/>
        <filter val="Keypad - 3.1 - HH (P/E)126"/>
      </filters>
    </filterColumn>
  </autoFilter>
  <mergeCells count="24"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G96:H98"/>
    <mergeCell ref="G93:H93"/>
    <mergeCell ref="G94:H94"/>
    <mergeCell ref="G95:H95"/>
    <mergeCell ref="B96:B98"/>
    <mergeCell ref="E96:E98"/>
    <mergeCell ref="F96:F98"/>
  </mergeCells>
  <conditionalFormatting sqref="AL11:AL90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sheetPr codeName="Sheet2" filterMode="1"/>
  <dimension ref="A1:AL98"/>
  <sheetViews>
    <sheetView workbookViewId="0">
      <pane xSplit="3" ySplit="10" topLeftCell="D42" activePane="bottomRight" state="frozen"/>
      <selection pane="topRight" activeCell="D1" sqref="D1"/>
      <selection pane="bottomLeft" activeCell="A11" sqref="A11"/>
      <selection pane="bottomRight" activeCell="AH42" sqref="AH42"/>
    </sheetView>
  </sheetViews>
  <sheetFormatPr defaultRowHeight="15" x14ac:dyDescent="0.25"/>
  <cols>
    <col min="2" max="2" width="12.28515625" bestFit="1" customWidth="1"/>
    <col min="3" max="3" width="37.28515625" bestFit="1" customWidth="1"/>
    <col min="7" max="34" width="10.140625" bestFit="1" customWidth="1"/>
  </cols>
  <sheetData>
    <row r="1" spans="1:38" ht="22.5" x14ac:dyDescent="0.25">
      <c r="E1" s="40" t="s">
        <v>29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38" x14ac:dyDescent="0.25">
      <c r="E2" s="41" t="s">
        <v>30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</row>
    <row r="3" spans="1:38" ht="15.75" x14ac:dyDescent="0.25">
      <c r="E3" s="44" t="s">
        <v>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38" x14ac:dyDescent="0.25">
      <c r="E4" s="45" t="s">
        <v>1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1:38" ht="15.75" x14ac:dyDescent="0.25">
      <c r="E5" s="46" t="s">
        <v>2</v>
      </c>
      <c r="F5" s="46"/>
      <c r="G5" s="46"/>
      <c r="H5" s="47" t="s">
        <v>3</v>
      </c>
      <c r="I5" s="48"/>
      <c r="J5" s="49"/>
      <c r="K5" s="50" t="s">
        <v>4</v>
      </c>
      <c r="L5" s="50"/>
      <c r="M5" s="13">
        <v>0</v>
      </c>
      <c r="N5" s="51" t="s">
        <v>5</v>
      </c>
      <c r="O5" s="51"/>
      <c r="P5" s="52"/>
      <c r="Q5" s="53"/>
    </row>
    <row r="6" spans="1:38" ht="15.75" x14ac:dyDescent="0.25">
      <c r="E6" s="46" t="s">
        <v>6</v>
      </c>
      <c r="F6" s="46"/>
      <c r="G6" s="46"/>
      <c r="H6" s="54" t="s">
        <v>7</v>
      </c>
      <c r="I6" s="54"/>
      <c r="J6" s="54"/>
      <c r="K6" s="50" t="s">
        <v>8</v>
      </c>
      <c r="L6" s="50"/>
      <c r="M6" s="55" t="s">
        <v>9</v>
      </c>
      <c r="N6" s="55"/>
      <c r="O6" s="55"/>
      <c r="P6" s="55"/>
      <c r="Q6" s="55"/>
    </row>
    <row r="7" spans="1:38" ht="15.75" x14ac:dyDescent="0.25">
      <c r="E7" s="50" t="s">
        <v>10</v>
      </c>
      <c r="F7" s="50"/>
      <c r="G7" s="50"/>
      <c r="H7" s="56"/>
      <c r="I7" s="56"/>
      <c r="J7" s="56"/>
      <c r="K7" s="50" t="s">
        <v>11</v>
      </c>
      <c r="L7" s="50"/>
      <c r="M7" s="55"/>
      <c r="N7" s="55"/>
      <c r="O7" s="55"/>
      <c r="P7" s="55"/>
      <c r="Q7" s="55"/>
    </row>
    <row r="9" spans="1:38" x14ac:dyDescent="0.25">
      <c r="A9" t="s">
        <v>12</v>
      </c>
    </row>
    <row r="10" spans="1:38" ht="26.25" x14ac:dyDescent="0.25">
      <c r="A10" s="29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4" t="s">
        <v>183</v>
      </c>
      <c r="G10" s="15">
        <v>46054</v>
      </c>
      <c r="H10" s="15">
        <v>46055</v>
      </c>
      <c r="I10" s="15">
        <v>46056</v>
      </c>
      <c r="J10" s="15">
        <v>46057</v>
      </c>
      <c r="K10" s="15">
        <v>46058</v>
      </c>
      <c r="L10" s="15">
        <v>46059</v>
      </c>
      <c r="M10" s="15">
        <v>46060</v>
      </c>
      <c r="N10" s="15">
        <v>46061</v>
      </c>
      <c r="O10" s="15">
        <v>46062</v>
      </c>
      <c r="P10" s="15">
        <v>46063</v>
      </c>
      <c r="Q10" s="15">
        <v>46064</v>
      </c>
      <c r="R10" s="15">
        <v>46065</v>
      </c>
      <c r="S10" s="15">
        <v>46066</v>
      </c>
      <c r="T10" s="15">
        <v>46067</v>
      </c>
      <c r="U10" s="15">
        <v>46068</v>
      </c>
      <c r="V10" s="15">
        <v>46069</v>
      </c>
      <c r="W10" s="15">
        <v>46070</v>
      </c>
      <c r="X10" s="15">
        <v>46071</v>
      </c>
      <c r="Y10" s="15">
        <v>46072</v>
      </c>
      <c r="Z10" s="15">
        <v>46073</v>
      </c>
      <c r="AA10" s="15">
        <v>46074</v>
      </c>
      <c r="AB10" s="15">
        <v>46075</v>
      </c>
      <c r="AC10" s="15">
        <v>46076</v>
      </c>
      <c r="AD10" s="15">
        <v>46077</v>
      </c>
      <c r="AE10" s="15">
        <v>46078</v>
      </c>
      <c r="AF10" s="15">
        <v>46079</v>
      </c>
      <c r="AG10" s="15">
        <v>46080</v>
      </c>
      <c r="AH10" s="15">
        <v>46081</v>
      </c>
      <c r="AI10" s="14" t="s">
        <v>184</v>
      </c>
      <c r="AJ10" s="3" t="s">
        <v>18</v>
      </c>
      <c r="AK10" s="3" t="s">
        <v>19</v>
      </c>
      <c r="AL10" s="3" t="s">
        <v>20</v>
      </c>
    </row>
    <row r="11" spans="1:38" hidden="1" x14ac:dyDescent="0.25">
      <c r="A11" s="13" t="s">
        <v>180</v>
      </c>
      <c r="B11" s="22" t="s">
        <v>31</v>
      </c>
      <c r="C11" s="22" t="s">
        <v>32</v>
      </c>
      <c r="D11" s="13"/>
      <c r="E11" s="13"/>
      <c r="F11" s="37">
        <f>'Jan 2026'!AL11</f>
        <v>23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6">
        <f t="shared" ref="AI11:AI42" si="0">F11+SUM(G11:AH11)</f>
        <v>23</v>
      </c>
    </row>
    <row r="12" spans="1:38" hidden="1" x14ac:dyDescent="0.25">
      <c r="A12" s="13" t="s">
        <v>180</v>
      </c>
      <c r="B12" s="22" t="s">
        <v>33</v>
      </c>
      <c r="C12" s="22" t="s">
        <v>34</v>
      </c>
      <c r="D12" s="13"/>
      <c r="E12" s="13"/>
      <c r="F12" s="37">
        <f>'Jan 2026'!AL12</f>
        <v>499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>
        <v>-1</v>
      </c>
      <c r="Z12" s="30"/>
      <c r="AA12" s="30"/>
      <c r="AB12" s="30"/>
      <c r="AC12" s="30"/>
      <c r="AD12" s="30"/>
      <c r="AE12" s="30"/>
      <c r="AF12" s="30"/>
      <c r="AG12" s="30"/>
      <c r="AH12" s="30"/>
      <c r="AI12" s="36">
        <f t="shared" si="0"/>
        <v>498</v>
      </c>
    </row>
    <row r="13" spans="1:38" hidden="1" x14ac:dyDescent="0.25">
      <c r="A13" s="13" t="s">
        <v>180</v>
      </c>
      <c r="B13" s="22" t="s">
        <v>35</v>
      </c>
      <c r="C13" s="22" t="s">
        <v>36</v>
      </c>
      <c r="D13" s="13"/>
      <c r="E13" s="13"/>
      <c r="F13" s="37">
        <f>'Jan 2026'!AL13</f>
        <v>25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6">
        <f t="shared" si="0"/>
        <v>25</v>
      </c>
    </row>
    <row r="14" spans="1:38" hidden="1" x14ac:dyDescent="0.25">
      <c r="A14" s="13" t="s">
        <v>181</v>
      </c>
      <c r="B14" s="22" t="s">
        <v>37</v>
      </c>
      <c r="C14" s="22" t="s">
        <v>38</v>
      </c>
      <c r="D14" s="13"/>
      <c r="E14" s="13"/>
      <c r="F14" s="37">
        <f>'Jan 2026'!AL14</f>
        <v>470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6">
        <f t="shared" si="0"/>
        <v>470</v>
      </c>
    </row>
    <row r="15" spans="1:38" hidden="1" x14ac:dyDescent="0.25">
      <c r="A15" s="13" t="s">
        <v>180</v>
      </c>
      <c r="B15" s="22" t="s">
        <v>39</v>
      </c>
      <c r="C15" s="22" t="s">
        <v>40</v>
      </c>
      <c r="D15" s="13"/>
      <c r="E15" s="13"/>
      <c r="F15" s="37">
        <f>'Jan 2026'!AL15</f>
        <v>5</v>
      </c>
      <c r="G15" s="30"/>
      <c r="H15" s="30"/>
      <c r="I15" s="30"/>
      <c r="J15" s="32">
        <v>160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>
        <v>-87</v>
      </c>
      <c r="AH15" s="30"/>
      <c r="AI15" s="36">
        <f t="shared" si="0"/>
        <v>78</v>
      </c>
    </row>
    <row r="16" spans="1:38" hidden="1" x14ac:dyDescent="0.25">
      <c r="A16" s="13" t="s">
        <v>180</v>
      </c>
      <c r="B16" s="22" t="s">
        <v>41</v>
      </c>
      <c r="C16" s="22" t="s">
        <v>42</v>
      </c>
      <c r="D16" s="13"/>
      <c r="E16" s="13"/>
      <c r="F16" s="37">
        <f>'Jan 2026'!AL16</f>
        <v>10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6">
        <f t="shared" si="0"/>
        <v>10</v>
      </c>
    </row>
    <row r="17" spans="1:35" hidden="1" x14ac:dyDescent="0.25">
      <c r="A17" s="13" t="s">
        <v>180</v>
      </c>
      <c r="B17" s="22" t="s">
        <v>43</v>
      </c>
      <c r="C17" s="22" t="s">
        <v>44</v>
      </c>
      <c r="D17" s="13"/>
      <c r="E17" s="13"/>
      <c r="F17" s="37">
        <f>'Jan 2026'!AL17</f>
        <v>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6">
        <f t="shared" si="0"/>
        <v>8</v>
      </c>
    </row>
    <row r="18" spans="1:35" hidden="1" x14ac:dyDescent="0.25">
      <c r="A18" s="13" t="s">
        <v>180</v>
      </c>
      <c r="B18" s="22" t="s">
        <v>45</v>
      </c>
      <c r="C18" s="22" t="s">
        <v>46</v>
      </c>
      <c r="D18" s="13"/>
      <c r="E18" s="13"/>
      <c r="F18" s="37">
        <f>'Jan 2026'!AL18</f>
        <v>9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6">
        <f t="shared" si="0"/>
        <v>9</v>
      </c>
    </row>
    <row r="19" spans="1:35" hidden="1" x14ac:dyDescent="0.25">
      <c r="A19" s="13"/>
      <c r="B19" s="22" t="s">
        <v>47</v>
      </c>
      <c r="C19" s="22" t="s">
        <v>48</v>
      </c>
      <c r="D19" s="13"/>
      <c r="E19" s="13"/>
      <c r="F19" s="37">
        <f>'Jan 2026'!AL19</f>
        <v>0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6">
        <f t="shared" si="0"/>
        <v>0</v>
      </c>
    </row>
    <row r="20" spans="1:35" hidden="1" x14ac:dyDescent="0.25">
      <c r="A20" s="13" t="s">
        <v>181</v>
      </c>
      <c r="B20" s="22" t="s">
        <v>49</v>
      </c>
      <c r="C20" s="22" t="s">
        <v>50</v>
      </c>
      <c r="D20" s="13"/>
      <c r="E20" s="13"/>
      <c r="F20" s="37">
        <f>'Jan 2026'!AL20</f>
        <v>239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6">
        <f t="shared" si="0"/>
        <v>239</v>
      </c>
    </row>
    <row r="21" spans="1:35" hidden="1" x14ac:dyDescent="0.25">
      <c r="A21" s="13" t="s">
        <v>180</v>
      </c>
      <c r="B21" s="22" t="s">
        <v>51</v>
      </c>
      <c r="C21" s="22" t="s">
        <v>52</v>
      </c>
      <c r="D21" s="13"/>
      <c r="E21" s="13"/>
      <c r="F21" s="37">
        <f>'Jan 2026'!AL21</f>
        <v>9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6">
        <f t="shared" si="0"/>
        <v>9</v>
      </c>
    </row>
    <row r="22" spans="1:35" hidden="1" x14ac:dyDescent="0.25">
      <c r="A22" s="13" t="s">
        <v>181</v>
      </c>
      <c r="B22" s="22" t="s">
        <v>53</v>
      </c>
      <c r="C22" s="22" t="s">
        <v>54</v>
      </c>
      <c r="D22" s="13"/>
      <c r="E22" s="13"/>
      <c r="F22" s="37">
        <f>'Jan 2026'!AL22</f>
        <v>260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6">
        <f t="shared" si="0"/>
        <v>260</v>
      </c>
    </row>
    <row r="23" spans="1:35" hidden="1" x14ac:dyDescent="0.25">
      <c r="A23" s="13" t="s">
        <v>180</v>
      </c>
      <c r="B23" s="22" t="s">
        <v>55</v>
      </c>
      <c r="C23" s="22" t="s">
        <v>56</v>
      </c>
      <c r="D23" s="13"/>
      <c r="E23" s="13"/>
      <c r="F23" s="37">
        <f>'Jan 2026'!AL23</f>
        <v>77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6">
        <f t="shared" si="0"/>
        <v>77</v>
      </c>
    </row>
    <row r="24" spans="1:35" hidden="1" x14ac:dyDescent="0.25">
      <c r="A24" s="13" t="s">
        <v>180</v>
      </c>
      <c r="B24" s="22" t="s">
        <v>57</v>
      </c>
      <c r="C24" s="22" t="s">
        <v>58</v>
      </c>
      <c r="D24" s="13"/>
      <c r="E24" s="13"/>
      <c r="F24" s="37">
        <f>'Jan 2026'!AL24</f>
        <v>176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>
        <v>-143</v>
      </c>
      <c r="AI24" s="36">
        <f t="shared" si="0"/>
        <v>33</v>
      </c>
    </row>
    <row r="25" spans="1:35" hidden="1" x14ac:dyDescent="0.25">
      <c r="A25" s="13" t="s">
        <v>180</v>
      </c>
      <c r="B25" s="22" t="s">
        <v>59</v>
      </c>
      <c r="C25" s="22" t="s">
        <v>60</v>
      </c>
      <c r="D25" s="13"/>
      <c r="E25" s="13"/>
      <c r="F25" s="37">
        <f>'Jan 2026'!AL25</f>
        <v>477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6">
        <f t="shared" si="0"/>
        <v>477</v>
      </c>
    </row>
    <row r="26" spans="1:35" hidden="1" x14ac:dyDescent="0.25">
      <c r="A26" s="13" t="s">
        <v>180</v>
      </c>
      <c r="B26" s="22" t="s">
        <v>61</v>
      </c>
      <c r="C26" s="22" t="s">
        <v>62</v>
      </c>
      <c r="D26" s="13"/>
      <c r="E26" s="13"/>
      <c r="F26" s="37">
        <f>'Jan 2026'!AL26</f>
        <v>393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6">
        <f t="shared" si="0"/>
        <v>393</v>
      </c>
    </row>
    <row r="27" spans="1:35" hidden="1" x14ac:dyDescent="0.25">
      <c r="A27" s="13" t="s">
        <v>182</v>
      </c>
      <c r="B27" s="22" t="s">
        <v>63</v>
      </c>
      <c r="C27" s="22" t="s">
        <v>64</v>
      </c>
      <c r="D27" s="13"/>
      <c r="E27" s="13"/>
      <c r="F27" s="37">
        <f>'Jan 2026'!AL27</f>
        <v>12</v>
      </c>
      <c r="G27" s="30"/>
      <c r="H27" s="30"/>
      <c r="I27" s="32">
        <v>75</v>
      </c>
      <c r="J27" s="30">
        <v>-21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6">
        <f t="shared" si="0"/>
        <v>66</v>
      </c>
    </row>
    <row r="28" spans="1:35" hidden="1" x14ac:dyDescent="0.25">
      <c r="A28" s="13" t="s">
        <v>182</v>
      </c>
      <c r="B28" s="22" t="s">
        <v>65</v>
      </c>
      <c r="C28" s="22" t="s">
        <v>66</v>
      </c>
      <c r="D28" s="13"/>
      <c r="E28" s="13"/>
      <c r="F28" s="37">
        <f>'Jan 2026'!AL28</f>
        <v>9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6">
        <f t="shared" si="0"/>
        <v>9</v>
      </c>
    </row>
    <row r="29" spans="1:35" hidden="1" x14ac:dyDescent="0.25">
      <c r="A29" s="13" t="s">
        <v>180</v>
      </c>
      <c r="B29" s="22" t="s">
        <v>67</v>
      </c>
      <c r="C29" s="22" t="s">
        <v>68</v>
      </c>
      <c r="D29" s="13"/>
      <c r="E29" s="13"/>
      <c r="F29" s="37">
        <f>'Jan 2026'!AL29</f>
        <v>8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6">
        <f t="shared" si="0"/>
        <v>8</v>
      </c>
    </row>
    <row r="30" spans="1:35" hidden="1" x14ac:dyDescent="0.25">
      <c r="A30" s="13" t="s">
        <v>182</v>
      </c>
      <c r="B30" s="22" t="s">
        <v>69</v>
      </c>
      <c r="C30" s="22" t="s">
        <v>70</v>
      </c>
      <c r="D30" s="13"/>
      <c r="E30" s="13"/>
      <c r="F30" s="37">
        <f>'Jan 2026'!AL30</f>
        <v>9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6">
        <f t="shared" si="0"/>
        <v>9</v>
      </c>
    </row>
    <row r="31" spans="1:35" hidden="1" x14ac:dyDescent="0.25">
      <c r="A31" s="13" t="s">
        <v>182</v>
      </c>
      <c r="B31" s="22" t="s">
        <v>71</v>
      </c>
      <c r="C31" s="22" t="s">
        <v>72</v>
      </c>
      <c r="D31" s="13"/>
      <c r="E31" s="13"/>
      <c r="F31" s="37">
        <f>'Jan 2026'!AL31</f>
        <v>9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6">
        <f t="shared" si="0"/>
        <v>9</v>
      </c>
    </row>
    <row r="32" spans="1:35" hidden="1" x14ac:dyDescent="0.25">
      <c r="A32" s="13" t="s">
        <v>182</v>
      </c>
      <c r="B32" s="22" t="s">
        <v>73</v>
      </c>
      <c r="C32" s="22" t="s">
        <v>74</v>
      </c>
      <c r="D32" s="13"/>
      <c r="E32" s="13"/>
      <c r="F32" s="37">
        <f>'Jan 2026'!AL32</f>
        <v>12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6">
        <f t="shared" si="0"/>
        <v>12</v>
      </c>
    </row>
    <row r="33" spans="1:35" hidden="1" x14ac:dyDescent="0.25">
      <c r="A33" s="13" t="s">
        <v>182</v>
      </c>
      <c r="B33" s="22" t="s">
        <v>75</v>
      </c>
      <c r="C33" s="22" t="s">
        <v>76</v>
      </c>
      <c r="D33" s="13"/>
      <c r="E33" s="13"/>
      <c r="F33" s="37">
        <f>'Jan 2026'!AL33</f>
        <v>2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6">
        <f t="shared" si="0"/>
        <v>2</v>
      </c>
    </row>
    <row r="34" spans="1:35" hidden="1" x14ac:dyDescent="0.25">
      <c r="A34" s="13" t="s">
        <v>180</v>
      </c>
      <c r="B34" s="22" t="s">
        <v>77</v>
      </c>
      <c r="C34" s="22" t="s">
        <v>78</v>
      </c>
      <c r="D34" s="13"/>
      <c r="E34" s="13"/>
      <c r="F34" s="37">
        <f>'Jan 2026'!AL34</f>
        <v>410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6">
        <f t="shared" si="0"/>
        <v>410</v>
      </c>
    </row>
    <row r="35" spans="1:35" hidden="1" x14ac:dyDescent="0.25">
      <c r="A35" s="13" t="s">
        <v>182</v>
      </c>
      <c r="B35" s="22" t="s">
        <v>79</v>
      </c>
      <c r="C35" s="22" t="s">
        <v>80</v>
      </c>
      <c r="D35" s="13"/>
      <c r="E35" s="13"/>
      <c r="F35" s="37">
        <f>'Jan 2026'!AL35</f>
        <v>7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6">
        <f t="shared" si="0"/>
        <v>7</v>
      </c>
    </row>
    <row r="36" spans="1:35" hidden="1" x14ac:dyDescent="0.25">
      <c r="A36" s="13" t="s">
        <v>182</v>
      </c>
      <c r="B36" s="22" t="s">
        <v>81</v>
      </c>
      <c r="C36" s="22" t="s">
        <v>82</v>
      </c>
      <c r="D36" s="13"/>
      <c r="E36" s="13"/>
      <c r="F36" s="37">
        <f>'Jan 2026'!AL36</f>
        <v>12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6">
        <f t="shared" si="0"/>
        <v>12</v>
      </c>
    </row>
    <row r="37" spans="1:35" hidden="1" x14ac:dyDescent="0.25">
      <c r="A37" s="13" t="s">
        <v>182</v>
      </c>
      <c r="B37" s="22" t="s">
        <v>83</v>
      </c>
      <c r="C37" s="22" t="s">
        <v>84</v>
      </c>
      <c r="D37" s="13"/>
      <c r="E37" s="13"/>
      <c r="F37" s="37">
        <f>'Jan 2026'!AL37</f>
        <v>9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6">
        <f t="shared" si="0"/>
        <v>9</v>
      </c>
    </row>
    <row r="38" spans="1:35" hidden="1" x14ac:dyDescent="0.25">
      <c r="A38" s="13" t="s">
        <v>182</v>
      </c>
      <c r="B38" s="22" t="s">
        <v>85</v>
      </c>
      <c r="C38" s="22" t="s">
        <v>86</v>
      </c>
      <c r="D38" s="13"/>
      <c r="E38" s="13"/>
      <c r="F38" s="37">
        <f>'Jan 2026'!AL38</f>
        <v>9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6">
        <f t="shared" si="0"/>
        <v>9</v>
      </c>
    </row>
    <row r="39" spans="1:35" hidden="1" x14ac:dyDescent="0.25">
      <c r="A39" s="13" t="s">
        <v>182</v>
      </c>
      <c r="B39" s="22" t="s">
        <v>87</v>
      </c>
      <c r="C39" s="22" t="s">
        <v>88</v>
      </c>
      <c r="D39" s="13"/>
      <c r="E39" s="13"/>
      <c r="F39" s="37">
        <f>'Jan 2026'!AL39</f>
        <v>9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6">
        <f t="shared" si="0"/>
        <v>9</v>
      </c>
    </row>
    <row r="40" spans="1:35" hidden="1" x14ac:dyDescent="0.25">
      <c r="A40" s="13" t="s">
        <v>182</v>
      </c>
      <c r="B40" s="22" t="s">
        <v>89</v>
      </c>
      <c r="C40" s="22" t="s">
        <v>90</v>
      </c>
      <c r="D40" s="13"/>
      <c r="E40" s="13"/>
      <c r="F40" s="37">
        <f>'Jan 2026'!AL40</f>
        <v>83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6">
        <f t="shared" si="0"/>
        <v>83</v>
      </c>
    </row>
    <row r="41" spans="1:35" hidden="1" x14ac:dyDescent="0.25">
      <c r="A41" s="13" t="s">
        <v>182</v>
      </c>
      <c r="B41" s="22" t="s">
        <v>91</v>
      </c>
      <c r="C41" s="22" t="s">
        <v>92</v>
      </c>
      <c r="D41" s="13"/>
      <c r="E41" s="13"/>
      <c r="F41" s="37">
        <f>'Jan 2026'!AL41</f>
        <v>9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6">
        <f t="shared" si="0"/>
        <v>9</v>
      </c>
    </row>
    <row r="42" spans="1:35" x14ac:dyDescent="0.25">
      <c r="A42" s="13" t="s">
        <v>182</v>
      </c>
      <c r="B42" s="22" t="s">
        <v>93</v>
      </c>
      <c r="C42" s="22" t="s">
        <v>94</v>
      </c>
      <c r="D42" s="13"/>
      <c r="E42" s="13"/>
      <c r="F42" s="37">
        <f>'Jan 2026'!AL42</f>
        <v>148</v>
      </c>
      <c r="G42" s="30"/>
      <c r="H42" s="30">
        <v>-17</v>
      </c>
      <c r="I42" s="30"/>
      <c r="J42" s="30">
        <f>-9+-21</f>
        <v>-30</v>
      </c>
      <c r="K42" s="30"/>
      <c r="L42" s="30"/>
      <c r="M42" s="30"/>
      <c r="N42" s="30"/>
      <c r="O42" s="30">
        <v>-2</v>
      </c>
      <c r="P42" s="30">
        <v>-1</v>
      </c>
      <c r="Q42" s="30"/>
      <c r="R42" s="30"/>
      <c r="S42" s="30">
        <v>-31</v>
      </c>
      <c r="T42" s="30"/>
      <c r="U42" s="30"/>
      <c r="V42" s="30"/>
      <c r="W42" s="30">
        <v>-36</v>
      </c>
      <c r="X42" s="30"/>
      <c r="Y42" s="30"/>
      <c r="Z42" s="30"/>
      <c r="AA42" s="30"/>
      <c r="AB42" s="30"/>
      <c r="AC42" s="30">
        <v>-31</v>
      </c>
      <c r="AD42" s="30"/>
      <c r="AE42" s="30"/>
      <c r="AG42" s="32">
        <v>200</v>
      </c>
      <c r="AH42" s="30">
        <v>-100</v>
      </c>
      <c r="AI42" s="36">
        <f t="shared" si="0"/>
        <v>100</v>
      </c>
    </row>
    <row r="43" spans="1:35" x14ac:dyDescent="0.25">
      <c r="A43" s="13" t="s">
        <v>182</v>
      </c>
      <c r="B43" s="22" t="s">
        <v>95</v>
      </c>
      <c r="C43" s="22" t="s">
        <v>96</v>
      </c>
      <c r="D43" s="13"/>
      <c r="E43" s="13"/>
      <c r="F43" s="37">
        <f>'Jan 2026'!AL43</f>
        <v>157</v>
      </c>
      <c r="G43" s="30"/>
      <c r="H43" s="30">
        <v>-6</v>
      </c>
      <c r="I43" s="30"/>
      <c r="J43" s="30">
        <v>-16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>
        <v>-66</v>
      </c>
      <c r="Z43" s="30"/>
      <c r="AA43" s="30"/>
      <c r="AB43" s="30"/>
      <c r="AC43" s="30">
        <v>-23</v>
      </c>
      <c r="AD43" s="30"/>
      <c r="AE43" s="30">
        <f>-17+-29</f>
        <v>-46</v>
      </c>
      <c r="AF43" s="30"/>
      <c r="AG43" s="32">
        <v>200</v>
      </c>
      <c r="AH43" s="30"/>
      <c r="AI43" s="36">
        <f t="shared" ref="AI43:AI68" si="1">F43+SUM(G43:AH43)</f>
        <v>200</v>
      </c>
    </row>
    <row r="44" spans="1:35" x14ac:dyDescent="0.25">
      <c r="A44" s="13" t="s">
        <v>182</v>
      </c>
      <c r="B44" s="22" t="s">
        <v>97</v>
      </c>
      <c r="C44" s="22" t="s">
        <v>98</v>
      </c>
      <c r="D44" s="13"/>
      <c r="E44" s="13"/>
      <c r="F44" s="37">
        <f>'Jan 2026'!AL44</f>
        <v>63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6">
        <f t="shared" si="1"/>
        <v>63</v>
      </c>
    </row>
    <row r="45" spans="1:35" hidden="1" x14ac:dyDescent="0.25">
      <c r="A45" s="13" t="s">
        <v>182</v>
      </c>
      <c r="B45" s="22"/>
      <c r="C45" s="22" t="s">
        <v>99</v>
      </c>
      <c r="D45" s="13"/>
      <c r="E45" s="13"/>
      <c r="F45" s="37">
        <f>'Jan 2026'!AL45</f>
        <v>39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6">
        <f t="shared" si="1"/>
        <v>39</v>
      </c>
    </row>
    <row r="46" spans="1:35" hidden="1" x14ac:dyDescent="0.25">
      <c r="A46" s="13" t="s">
        <v>182</v>
      </c>
      <c r="B46" s="22" t="s">
        <v>100</v>
      </c>
      <c r="C46" s="22" t="s">
        <v>101</v>
      </c>
      <c r="D46" s="13"/>
      <c r="E46" s="13"/>
      <c r="F46" s="37">
        <f>'Jan 2026'!AL46</f>
        <v>66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6">
        <f t="shared" si="1"/>
        <v>66</v>
      </c>
    </row>
    <row r="47" spans="1:35" hidden="1" x14ac:dyDescent="0.25">
      <c r="A47" s="13" t="s">
        <v>182</v>
      </c>
      <c r="B47" s="22" t="s">
        <v>102</v>
      </c>
      <c r="C47" s="22" t="s">
        <v>103</v>
      </c>
      <c r="D47" s="13"/>
      <c r="E47" s="13"/>
      <c r="F47" s="37">
        <f>'Jan 2026'!AL47</f>
        <v>15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6">
        <f t="shared" si="1"/>
        <v>15</v>
      </c>
    </row>
    <row r="48" spans="1:35" hidden="1" x14ac:dyDescent="0.25">
      <c r="A48" s="13" t="s">
        <v>182</v>
      </c>
      <c r="B48" s="22" t="s">
        <v>104</v>
      </c>
      <c r="C48" s="22" t="s">
        <v>105</v>
      </c>
      <c r="D48" s="13"/>
      <c r="E48" s="13"/>
      <c r="F48" s="37">
        <f>'Jan 2026'!AL48</f>
        <v>173</v>
      </c>
      <c r="G48" s="30"/>
      <c r="H48" s="30">
        <v>-17</v>
      </c>
      <c r="I48" s="30"/>
      <c r="J48" s="30">
        <v>-9</v>
      </c>
      <c r="K48" s="30"/>
      <c r="L48" s="30"/>
      <c r="M48" s="30"/>
      <c r="N48" s="30"/>
      <c r="O48" s="30"/>
      <c r="P48" s="30"/>
      <c r="Q48" s="30"/>
      <c r="R48" s="30"/>
      <c r="S48" s="30">
        <v>-31</v>
      </c>
      <c r="T48" s="30"/>
      <c r="U48" s="30"/>
      <c r="V48" s="30"/>
      <c r="W48" s="30"/>
      <c r="X48" s="30"/>
      <c r="Y48" s="30"/>
      <c r="Z48" s="30">
        <v>-9</v>
      </c>
      <c r="AA48" s="30"/>
      <c r="AB48" s="30"/>
      <c r="AC48" s="30">
        <v>-36</v>
      </c>
      <c r="AD48" s="30">
        <v>-22</v>
      </c>
      <c r="AE48" s="30"/>
      <c r="AF48" s="30"/>
      <c r="AG48" s="30">
        <v>-8</v>
      </c>
      <c r="AH48" s="30"/>
      <c r="AI48" s="36">
        <f t="shared" si="1"/>
        <v>41</v>
      </c>
    </row>
    <row r="49" spans="1:35" hidden="1" x14ac:dyDescent="0.25">
      <c r="A49" s="13"/>
      <c r="B49" s="22" t="s">
        <v>106</v>
      </c>
      <c r="C49" s="22" t="s">
        <v>107</v>
      </c>
      <c r="D49" s="13"/>
      <c r="E49" s="13"/>
      <c r="F49" s="37">
        <f>'Jan 2026'!AL49</f>
        <v>0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6">
        <f t="shared" si="1"/>
        <v>0</v>
      </c>
    </row>
    <row r="50" spans="1:35" hidden="1" x14ac:dyDescent="0.25">
      <c r="A50" s="13" t="s">
        <v>182</v>
      </c>
      <c r="B50" s="22" t="s">
        <v>108</v>
      </c>
      <c r="C50" s="22" t="s">
        <v>109</v>
      </c>
      <c r="D50" s="13"/>
      <c r="E50" s="13"/>
      <c r="F50" s="37">
        <f>'Jan 2026'!AL50</f>
        <v>160</v>
      </c>
      <c r="G50" s="30"/>
      <c r="H50" s="30">
        <v>-6</v>
      </c>
      <c r="I50" s="30"/>
      <c r="J50" s="30">
        <v>-16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>
        <f>-36+-16</f>
        <v>-52</v>
      </c>
      <c r="X50" s="30"/>
      <c r="Y50" s="30">
        <v>-21</v>
      </c>
      <c r="Z50" s="30">
        <v>-9</v>
      </c>
      <c r="AA50" s="30"/>
      <c r="AB50" s="30"/>
      <c r="AC50" s="30"/>
      <c r="AD50" s="30"/>
      <c r="AE50" s="30"/>
      <c r="AF50" s="30"/>
      <c r="AG50" s="30"/>
      <c r="AH50" s="30"/>
      <c r="AI50" s="36">
        <f t="shared" si="1"/>
        <v>56</v>
      </c>
    </row>
    <row r="51" spans="1:35" hidden="1" x14ac:dyDescent="0.25">
      <c r="A51" s="13"/>
      <c r="B51" s="22" t="s">
        <v>110</v>
      </c>
      <c r="C51" s="22" t="s">
        <v>111</v>
      </c>
      <c r="D51" s="13"/>
      <c r="E51" s="13"/>
      <c r="F51" s="37">
        <f>'Jan 2026'!AL51</f>
        <v>0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6">
        <f t="shared" si="1"/>
        <v>0</v>
      </c>
    </row>
    <row r="52" spans="1:35" hidden="1" x14ac:dyDescent="0.25">
      <c r="A52" s="13"/>
      <c r="B52" s="22" t="s">
        <v>112</v>
      </c>
      <c r="C52" s="22" t="s">
        <v>113</v>
      </c>
      <c r="D52" s="13"/>
      <c r="E52" s="13"/>
      <c r="F52" s="37">
        <f>'Jan 2026'!AL52</f>
        <v>0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6">
        <f t="shared" si="1"/>
        <v>0</v>
      </c>
    </row>
    <row r="53" spans="1:35" hidden="1" x14ac:dyDescent="0.25">
      <c r="A53" s="13" t="s">
        <v>182</v>
      </c>
      <c r="B53" s="22" t="s">
        <v>114</v>
      </c>
      <c r="C53" s="22" t="s">
        <v>115</v>
      </c>
      <c r="D53" s="13"/>
      <c r="E53" s="13"/>
      <c r="F53" s="37">
        <f>'Jan 2026'!AL53</f>
        <v>0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6">
        <f t="shared" si="1"/>
        <v>0</v>
      </c>
    </row>
    <row r="54" spans="1:35" hidden="1" x14ac:dyDescent="0.25">
      <c r="A54" s="13" t="s">
        <v>182</v>
      </c>
      <c r="B54" s="22" t="s">
        <v>116</v>
      </c>
      <c r="C54" s="22" t="s">
        <v>117</v>
      </c>
      <c r="D54" s="13"/>
      <c r="E54" s="13"/>
      <c r="F54" s="37">
        <f>'Jan 2026'!AL54</f>
        <v>109</v>
      </c>
      <c r="G54" s="30"/>
      <c r="H54" s="30"/>
      <c r="I54" s="30"/>
      <c r="J54" s="30"/>
      <c r="K54" s="30"/>
      <c r="L54" s="30"/>
      <c r="M54" s="30"/>
      <c r="N54" s="30"/>
      <c r="O54" s="30">
        <v>-2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6">
        <f t="shared" si="1"/>
        <v>107</v>
      </c>
    </row>
    <row r="55" spans="1:35" hidden="1" x14ac:dyDescent="0.25">
      <c r="A55" s="13"/>
      <c r="B55" s="22" t="s">
        <v>118</v>
      </c>
      <c r="C55" s="22" t="s">
        <v>119</v>
      </c>
      <c r="D55" s="13"/>
      <c r="E55" s="13"/>
      <c r="F55" s="37">
        <f>'Jan 2026'!AL55</f>
        <v>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6">
        <f t="shared" si="1"/>
        <v>0</v>
      </c>
    </row>
    <row r="56" spans="1:35" hidden="1" x14ac:dyDescent="0.25">
      <c r="A56" s="13"/>
      <c r="B56" s="22" t="s">
        <v>120</v>
      </c>
      <c r="C56" s="22" t="s">
        <v>121</v>
      </c>
      <c r="D56" s="13"/>
      <c r="E56" s="13"/>
      <c r="F56" s="37">
        <f>'Jan 2026'!AL56</f>
        <v>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6">
        <f t="shared" si="1"/>
        <v>0</v>
      </c>
    </row>
    <row r="57" spans="1:35" hidden="1" x14ac:dyDescent="0.25">
      <c r="A57" s="13" t="s">
        <v>182</v>
      </c>
      <c r="B57" s="22" t="s">
        <v>122</v>
      </c>
      <c r="C57" s="22" t="s">
        <v>123</v>
      </c>
      <c r="D57" s="13"/>
      <c r="E57" s="13"/>
      <c r="F57" s="37">
        <f>'Jan 2026'!AL57</f>
        <v>59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6">
        <f t="shared" si="1"/>
        <v>59</v>
      </c>
    </row>
    <row r="58" spans="1:35" hidden="1" x14ac:dyDescent="0.25">
      <c r="A58" s="13"/>
      <c r="B58" s="22" t="s">
        <v>124</v>
      </c>
      <c r="C58" s="22" t="s">
        <v>125</v>
      </c>
      <c r="D58" s="13"/>
      <c r="E58" s="13"/>
      <c r="F58" s="37">
        <f>'Jan 2026'!AL58</f>
        <v>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6">
        <f t="shared" si="1"/>
        <v>0</v>
      </c>
    </row>
    <row r="59" spans="1:35" hidden="1" x14ac:dyDescent="0.25">
      <c r="A59" s="13"/>
      <c r="B59" s="22" t="s">
        <v>126</v>
      </c>
      <c r="C59" s="22" t="s">
        <v>127</v>
      </c>
      <c r="D59" s="13"/>
      <c r="E59" s="13"/>
      <c r="F59" s="37">
        <f>'Jan 2026'!AL59</f>
        <v>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6">
        <f t="shared" si="1"/>
        <v>0</v>
      </c>
    </row>
    <row r="60" spans="1:35" hidden="1" x14ac:dyDescent="0.25">
      <c r="A60" s="13" t="s">
        <v>182</v>
      </c>
      <c r="B60" s="22" t="s">
        <v>128</v>
      </c>
      <c r="C60" s="22" t="s">
        <v>129</v>
      </c>
      <c r="D60" s="13"/>
      <c r="E60" s="13"/>
      <c r="F60" s="37">
        <f>'Jan 2026'!AL60</f>
        <v>28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>
        <v>-4</v>
      </c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6">
        <f t="shared" si="1"/>
        <v>24</v>
      </c>
    </row>
    <row r="61" spans="1:35" hidden="1" x14ac:dyDescent="0.25">
      <c r="A61" s="13" t="s">
        <v>182</v>
      </c>
      <c r="B61" s="22" t="s">
        <v>130</v>
      </c>
      <c r="C61" s="22" t="s">
        <v>131</v>
      </c>
      <c r="D61" s="13"/>
      <c r="E61" s="13"/>
      <c r="F61" s="37">
        <f>'Jan 2026'!AL61</f>
        <v>119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6">
        <f t="shared" si="1"/>
        <v>119</v>
      </c>
    </row>
    <row r="62" spans="1:35" hidden="1" x14ac:dyDescent="0.25">
      <c r="A62" s="13" t="s">
        <v>182</v>
      </c>
      <c r="B62" s="22" t="s">
        <v>132</v>
      </c>
      <c r="C62" s="22" t="s">
        <v>133</v>
      </c>
      <c r="D62" s="13"/>
      <c r="E62" s="13"/>
      <c r="F62" s="37">
        <f>'Jan 2026'!AL62</f>
        <v>508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6">
        <f t="shared" si="1"/>
        <v>508</v>
      </c>
    </row>
    <row r="63" spans="1:35" hidden="1" x14ac:dyDescent="0.25">
      <c r="A63" s="13"/>
      <c r="B63" s="22" t="s">
        <v>134</v>
      </c>
      <c r="C63" s="22" t="s">
        <v>135</v>
      </c>
      <c r="D63" s="13"/>
      <c r="E63" s="13"/>
      <c r="F63" s="37">
        <f>'Jan 2026'!AL63</f>
        <v>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6">
        <f t="shared" si="1"/>
        <v>0</v>
      </c>
    </row>
    <row r="64" spans="1:35" hidden="1" x14ac:dyDescent="0.25">
      <c r="A64" s="13"/>
      <c r="B64" s="22" t="s">
        <v>136</v>
      </c>
      <c r="C64" s="22" t="s">
        <v>137</v>
      </c>
      <c r="D64" s="13"/>
      <c r="E64" s="13"/>
      <c r="F64" s="37">
        <f>'Jan 2026'!AL64</f>
        <v>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6">
        <f t="shared" si="1"/>
        <v>0</v>
      </c>
    </row>
    <row r="65" spans="1:35" hidden="1" x14ac:dyDescent="0.25">
      <c r="A65" s="13"/>
      <c r="B65" s="22" t="s">
        <v>138</v>
      </c>
      <c r="C65" s="22" t="s">
        <v>139</v>
      </c>
      <c r="D65" s="13"/>
      <c r="E65" s="13"/>
      <c r="F65" s="37">
        <f>'Jan 2026'!AL65</f>
        <v>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6">
        <f t="shared" si="1"/>
        <v>0</v>
      </c>
    </row>
    <row r="66" spans="1:35" hidden="1" x14ac:dyDescent="0.25">
      <c r="A66" s="13" t="s">
        <v>182</v>
      </c>
      <c r="B66" s="22" t="s">
        <v>140</v>
      </c>
      <c r="C66" s="22" t="s">
        <v>141</v>
      </c>
      <c r="D66" s="13"/>
      <c r="E66" s="13"/>
      <c r="F66" s="37">
        <f>'Jan 2026'!AL66</f>
        <v>20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6">
        <f t="shared" si="1"/>
        <v>20</v>
      </c>
    </row>
    <row r="67" spans="1:35" hidden="1" x14ac:dyDescent="0.25">
      <c r="A67" s="13"/>
      <c r="B67" s="22" t="s">
        <v>142</v>
      </c>
      <c r="C67" s="22" t="s">
        <v>143</v>
      </c>
      <c r="D67" s="13"/>
      <c r="E67" s="13"/>
      <c r="F67" s="37">
        <f>'Jan 2026'!AL67</f>
        <v>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6">
        <f t="shared" si="1"/>
        <v>0</v>
      </c>
    </row>
    <row r="68" spans="1:35" hidden="1" x14ac:dyDescent="0.25">
      <c r="A68" s="13" t="s">
        <v>182</v>
      </c>
      <c r="B68" s="22" t="s">
        <v>144</v>
      </c>
      <c r="C68" s="22" t="s">
        <v>145</v>
      </c>
      <c r="D68" s="13"/>
      <c r="E68" s="13"/>
      <c r="F68" s="37">
        <f>'Jan 2026'!AL68</f>
        <v>17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6">
        <f t="shared" si="1"/>
        <v>17</v>
      </c>
    </row>
    <row r="69" spans="1:35" hidden="1" x14ac:dyDescent="0.25">
      <c r="A69" s="13" t="s">
        <v>182</v>
      </c>
      <c r="B69" s="22" t="s">
        <v>146</v>
      </c>
      <c r="C69" s="22" t="s">
        <v>147</v>
      </c>
      <c r="D69" s="13"/>
      <c r="E69" s="13"/>
      <c r="F69" s="37">
        <f>'Jan 2026'!AL69</f>
        <v>3</v>
      </c>
      <c r="G69" s="30"/>
      <c r="H69" s="30"/>
      <c r="I69" s="30"/>
      <c r="J69" s="30"/>
      <c r="K69" s="30">
        <v>-3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6">
        <f t="shared" ref="AI69:AI91" si="2">F69+SUM(G69:AH69)</f>
        <v>0</v>
      </c>
    </row>
    <row r="70" spans="1:35" hidden="1" x14ac:dyDescent="0.25">
      <c r="A70" s="13" t="s">
        <v>182</v>
      </c>
      <c r="B70" s="22" t="s">
        <v>148</v>
      </c>
      <c r="C70" s="22" t="s">
        <v>149</v>
      </c>
      <c r="D70" s="13"/>
      <c r="E70" s="13"/>
      <c r="F70" s="37">
        <f>'Jan 2026'!AL70</f>
        <v>54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6">
        <f t="shared" si="2"/>
        <v>54</v>
      </c>
    </row>
    <row r="71" spans="1:35" hidden="1" x14ac:dyDescent="0.25">
      <c r="A71" s="13"/>
      <c r="B71" s="22" t="s">
        <v>150</v>
      </c>
      <c r="C71" s="22" t="s">
        <v>151</v>
      </c>
      <c r="D71" s="13"/>
      <c r="E71" s="13"/>
      <c r="F71" s="37">
        <f>'Jan 2026'!AL71</f>
        <v>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6">
        <f t="shared" si="2"/>
        <v>0</v>
      </c>
    </row>
    <row r="72" spans="1:35" hidden="1" x14ac:dyDescent="0.25">
      <c r="A72" s="13"/>
      <c r="B72" s="22" t="s">
        <v>152</v>
      </c>
      <c r="C72" s="22" t="s">
        <v>153</v>
      </c>
      <c r="D72" s="13"/>
      <c r="E72" s="13"/>
      <c r="F72" s="37">
        <f>'Jan 2026'!AL72</f>
        <v>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6">
        <f t="shared" si="2"/>
        <v>0</v>
      </c>
    </row>
    <row r="73" spans="1:35" hidden="1" x14ac:dyDescent="0.25">
      <c r="A73" s="13"/>
      <c r="B73" s="22" t="s">
        <v>154</v>
      </c>
      <c r="C73" s="22" t="s">
        <v>155</v>
      </c>
      <c r="D73" s="13"/>
      <c r="E73" s="13"/>
      <c r="F73" s="37">
        <f>'Jan 2026'!AL73</f>
        <v>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6">
        <f t="shared" si="2"/>
        <v>0</v>
      </c>
    </row>
    <row r="74" spans="1:35" hidden="1" x14ac:dyDescent="0.25">
      <c r="A74" s="13"/>
      <c r="B74" s="22" t="s">
        <v>156</v>
      </c>
      <c r="C74" s="22" t="s">
        <v>157</v>
      </c>
      <c r="D74" s="13"/>
      <c r="E74" s="13"/>
      <c r="F74" s="37">
        <f>'Jan 2026'!AL74</f>
        <v>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6">
        <f t="shared" si="2"/>
        <v>0</v>
      </c>
    </row>
    <row r="75" spans="1:35" hidden="1" x14ac:dyDescent="0.25">
      <c r="A75" s="13"/>
      <c r="B75" s="22" t="s">
        <v>158</v>
      </c>
      <c r="C75" s="22" t="s">
        <v>159</v>
      </c>
      <c r="D75" s="13"/>
      <c r="E75" s="13"/>
      <c r="F75" s="37">
        <f>'Jan 2026'!AL75</f>
        <v>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6">
        <f t="shared" si="2"/>
        <v>0</v>
      </c>
    </row>
    <row r="76" spans="1:35" hidden="1" x14ac:dyDescent="0.25">
      <c r="A76" s="13" t="s">
        <v>182</v>
      </c>
      <c r="B76" s="22" t="s">
        <v>160</v>
      </c>
      <c r="C76" s="22" t="s">
        <v>161</v>
      </c>
      <c r="D76" s="13"/>
      <c r="E76" s="13"/>
      <c r="F76" s="37">
        <f>'Jan 2026'!AL76</f>
        <v>177</v>
      </c>
      <c r="G76" s="30"/>
      <c r="H76" s="30"/>
      <c r="I76" s="30"/>
      <c r="J76" s="30">
        <f>-8+-10</f>
        <v>-18</v>
      </c>
      <c r="K76" s="30">
        <v>-9</v>
      </c>
      <c r="L76" s="30"/>
      <c r="M76" s="30"/>
      <c r="N76" s="30"/>
      <c r="O76" s="30"/>
      <c r="P76" s="30"/>
      <c r="Q76" s="30"/>
      <c r="R76" s="30"/>
      <c r="S76" s="30">
        <v>-15</v>
      </c>
      <c r="T76" s="30"/>
      <c r="U76" s="30"/>
      <c r="V76" s="30"/>
      <c r="W76" s="30"/>
      <c r="X76" s="30"/>
      <c r="Y76" s="30"/>
      <c r="Z76" s="30">
        <v>-22</v>
      </c>
      <c r="AA76" s="30">
        <f>-49+-15</f>
        <v>-64</v>
      </c>
      <c r="AB76" s="30"/>
      <c r="AC76" s="30"/>
      <c r="AD76" s="30">
        <v>-22</v>
      </c>
      <c r="AE76" s="30"/>
      <c r="AF76" s="30"/>
      <c r="AG76" s="30"/>
      <c r="AH76" s="30"/>
      <c r="AI76" s="36">
        <f t="shared" si="2"/>
        <v>27</v>
      </c>
    </row>
    <row r="77" spans="1:35" hidden="1" x14ac:dyDescent="0.25">
      <c r="A77" s="13" t="s">
        <v>182</v>
      </c>
      <c r="B77" s="22" t="s">
        <v>162</v>
      </c>
      <c r="C77" s="22" t="s">
        <v>163</v>
      </c>
      <c r="D77" s="13"/>
      <c r="E77" s="13"/>
      <c r="F77" s="37">
        <f>'Jan 2026'!AL77</f>
        <v>31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6">
        <f t="shared" si="2"/>
        <v>31</v>
      </c>
    </row>
    <row r="78" spans="1:35" hidden="1" x14ac:dyDescent="0.25">
      <c r="A78" s="13" t="s">
        <v>182</v>
      </c>
      <c r="B78" s="22" t="s">
        <v>164</v>
      </c>
      <c r="C78" s="22" t="s">
        <v>165</v>
      </c>
      <c r="D78" s="13"/>
      <c r="E78" s="13"/>
      <c r="F78" s="37">
        <f>'Jan 2026'!AL78</f>
        <v>129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>
        <v>-12</v>
      </c>
      <c r="AA78" s="30"/>
      <c r="AB78" s="30"/>
      <c r="AC78" s="30"/>
      <c r="AD78" s="30"/>
      <c r="AE78" s="30"/>
      <c r="AF78" s="30">
        <v>-1</v>
      </c>
      <c r="AG78" s="30"/>
      <c r="AH78" s="30"/>
      <c r="AI78" s="36">
        <f t="shared" si="2"/>
        <v>116</v>
      </c>
    </row>
    <row r="79" spans="1:35" hidden="1" x14ac:dyDescent="0.25">
      <c r="A79" s="13" t="s">
        <v>182</v>
      </c>
      <c r="B79" s="22" t="s">
        <v>166</v>
      </c>
      <c r="C79" s="22" t="s">
        <v>167</v>
      </c>
      <c r="D79" s="13"/>
      <c r="E79" s="13"/>
      <c r="F79" s="37">
        <f>'Jan 2026'!AL79</f>
        <v>133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6">
        <f t="shared" si="2"/>
        <v>133</v>
      </c>
    </row>
    <row r="80" spans="1:35" hidden="1" x14ac:dyDescent="0.25">
      <c r="A80" s="13" t="s">
        <v>182</v>
      </c>
      <c r="B80" s="22" t="s">
        <v>168</v>
      </c>
      <c r="C80" s="22" t="s">
        <v>169</v>
      </c>
      <c r="D80" s="13"/>
      <c r="E80" s="13"/>
      <c r="F80" s="37">
        <f>'Jan 2026'!AL80</f>
        <v>400</v>
      </c>
      <c r="G80" s="30"/>
      <c r="H80" s="30"/>
      <c r="I80" s="30"/>
      <c r="J80" s="30">
        <v>-8</v>
      </c>
      <c r="K80" s="30"/>
      <c r="L80" s="30"/>
      <c r="M80" s="30"/>
      <c r="N80" s="30"/>
      <c r="O80" s="30">
        <v>-7</v>
      </c>
      <c r="P80" s="30"/>
      <c r="Q80" s="30"/>
      <c r="R80" s="30"/>
      <c r="S80" s="30">
        <v>-15</v>
      </c>
      <c r="T80" s="30"/>
      <c r="U80" s="30"/>
      <c r="V80" s="30"/>
      <c r="W80" s="30"/>
      <c r="X80" s="30"/>
      <c r="Y80" s="30"/>
      <c r="Z80" s="30">
        <v>-118</v>
      </c>
      <c r="AA80" s="30">
        <v>-6</v>
      </c>
      <c r="AB80" s="30"/>
      <c r="AC80" s="30"/>
      <c r="AD80" s="30">
        <v>-22</v>
      </c>
      <c r="AE80" s="30"/>
      <c r="AF80" s="30"/>
      <c r="AG80" s="30"/>
      <c r="AH80" s="30"/>
      <c r="AI80" s="36">
        <f t="shared" si="2"/>
        <v>224</v>
      </c>
    </row>
    <row r="81" spans="1:38" hidden="1" x14ac:dyDescent="0.25">
      <c r="A81" s="13" t="s">
        <v>182</v>
      </c>
      <c r="B81" s="22" t="s">
        <v>170</v>
      </c>
      <c r="C81" s="22" t="s">
        <v>171</v>
      </c>
      <c r="D81" s="13"/>
      <c r="E81" s="13"/>
      <c r="F81" s="37">
        <f>'Jan 2026'!AL81</f>
        <v>271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6">
        <f t="shared" si="2"/>
        <v>271</v>
      </c>
    </row>
    <row r="82" spans="1:38" hidden="1" x14ac:dyDescent="0.25">
      <c r="A82" s="13" t="s">
        <v>182</v>
      </c>
      <c r="B82" s="22" t="s">
        <v>172</v>
      </c>
      <c r="C82" s="22" t="s">
        <v>173</v>
      </c>
      <c r="D82" s="13"/>
      <c r="E82" s="13"/>
      <c r="F82" s="37">
        <f>'Jan 2026'!AL82</f>
        <v>249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6">
        <f t="shared" si="2"/>
        <v>249</v>
      </c>
    </row>
    <row r="83" spans="1:38" hidden="1" x14ac:dyDescent="0.25">
      <c r="A83" s="13" t="s">
        <v>182</v>
      </c>
      <c r="B83" s="22" t="s">
        <v>174</v>
      </c>
      <c r="C83" s="22" t="s">
        <v>175</v>
      </c>
      <c r="D83" s="13"/>
      <c r="E83" s="13"/>
      <c r="F83" s="37">
        <f>'Jan 2026'!AL83</f>
        <v>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6">
        <f t="shared" si="2"/>
        <v>53</v>
      </c>
    </row>
    <row r="84" spans="1:38" hidden="1" x14ac:dyDescent="0.25">
      <c r="A84" s="13" t="s">
        <v>182</v>
      </c>
      <c r="B84" s="22" t="s">
        <v>176</v>
      </c>
      <c r="C84" s="22" t="s">
        <v>177</v>
      </c>
      <c r="D84" s="13"/>
      <c r="E84" s="13"/>
      <c r="F84" s="37">
        <f>'Jan 2026'!AL84</f>
        <v>40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6">
        <f t="shared" si="2"/>
        <v>40</v>
      </c>
    </row>
    <row r="85" spans="1:38" hidden="1" x14ac:dyDescent="0.25">
      <c r="A85" s="13" t="s">
        <v>182</v>
      </c>
      <c r="B85" s="22" t="s">
        <v>178</v>
      </c>
      <c r="C85" s="22" t="s">
        <v>179</v>
      </c>
      <c r="D85" s="13"/>
      <c r="E85" s="13"/>
      <c r="F85" s="37">
        <f>'Jan 2026'!AL85</f>
        <v>58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6">
        <f t="shared" si="2"/>
        <v>58</v>
      </c>
    </row>
    <row r="86" spans="1:38" hidden="1" x14ac:dyDescent="0.25">
      <c r="A86" s="13"/>
      <c r="B86" s="22"/>
      <c r="C86" s="2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36">
        <f t="shared" si="2"/>
        <v>0</v>
      </c>
    </row>
    <row r="87" spans="1:38" hidden="1" x14ac:dyDescent="0.25">
      <c r="A87" s="13"/>
      <c r="B87" s="22"/>
      <c r="C87" s="2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36">
        <f t="shared" si="2"/>
        <v>0</v>
      </c>
    </row>
    <row r="88" spans="1:38" hidden="1" x14ac:dyDescent="0.25">
      <c r="A88" s="13"/>
      <c r="B88" s="22"/>
      <c r="C88" s="2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36">
        <f t="shared" si="2"/>
        <v>0</v>
      </c>
    </row>
    <row r="89" spans="1:38" hidden="1" x14ac:dyDescent="0.25">
      <c r="A89" s="13"/>
      <c r="B89" s="22"/>
      <c r="C89" s="2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36">
        <f t="shared" si="2"/>
        <v>0</v>
      </c>
    </row>
    <row r="90" spans="1:38" hidden="1" x14ac:dyDescent="0.25">
      <c r="A90" s="13"/>
      <c r="B90" s="22"/>
      <c r="C90" s="2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36">
        <f t="shared" si="2"/>
        <v>0</v>
      </c>
    </row>
    <row r="91" spans="1:38" hidden="1" x14ac:dyDescent="0.25">
      <c r="A91" s="1"/>
      <c r="B91" s="2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36">
        <f t="shared" si="2"/>
        <v>0</v>
      </c>
      <c r="AJ91" s="1"/>
      <c r="AK91" s="1"/>
      <c r="AL91" s="1"/>
    </row>
    <row r="92" spans="1:38" ht="32.25" hidden="1" thickBot="1" x14ac:dyDescent="0.3">
      <c r="A92" s="1"/>
      <c r="B92" s="7" t="s">
        <v>21</v>
      </c>
      <c r="C92" s="20"/>
      <c r="D92" s="20"/>
      <c r="E92" s="8" t="s">
        <v>22</v>
      </c>
      <c r="F92" s="23" t="s">
        <v>23</v>
      </c>
      <c r="G92" s="27" t="s">
        <v>24</v>
      </c>
      <c r="H92" s="2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6.5" hidden="1" thickBot="1" x14ac:dyDescent="0.3">
      <c r="A93" s="1"/>
      <c r="B93" s="9" t="s">
        <v>25</v>
      </c>
      <c r="C93" s="21"/>
      <c r="D93" s="21"/>
      <c r="E93" s="10"/>
      <c r="F93" s="24"/>
      <c r="G93" s="57"/>
      <c r="H93" s="5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32.25" hidden="1" thickBot="1" x14ac:dyDescent="0.3">
      <c r="A94" s="1"/>
      <c r="B94" s="9" t="s">
        <v>26</v>
      </c>
      <c r="C94" s="21"/>
      <c r="D94" s="21"/>
      <c r="E94" s="11"/>
      <c r="F94" s="25"/>
      <c r="G94" s="59"/>
      <c r="H94" s="6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6.5" hidden="1" thickBot="1" x14ac:dyDescent="0.3">
      <c r="A95" s="1"/>
      <c r="B95" s="9" t="s">
        <v>27</v>
      </c>
      <c r="C95" s="21"/>
      <c r="D95" s="21"/>
      <c r="E95" s="12"/>
      <c r="F95" s="26"/>
      <c r="G95" s="61"/>
      <c r="H95" s="6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hidden="1" x14ac:dyDescent="0.25">
      <c r="A96" s="1"/>
      <c r="B96" s="63" t="s">
        <v>28</v>
      </c>
      <c r="C96" s="18"/>
      <c r="D96" s="18"/>
      <c r="E96" s="66"/>
      <c r="F96" s="69"/>
      <c r="G96" s="72"/>
      <c r="H96" s="7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hidden="1" x14ac:dyDescent="0.25">
      <c r="A97" s="1"/>
      <c r="B97" s="64"/>
      <c r="C97" s="19"/>
      <c r="D97" s="19"/>
      <c r="E97" s="67"/>
      <c r="F97" s="70"/>
      <c r="G97" s="72"/>
      <c r="H97" s="7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6.5" hidden="1" thickBot="1" x14ac:dyDescent="0.3">
      <c r="A98" s="1"/>
      <c r="B98" s="65"/>
      <c r="C98" s="9"/>
      <c r="D98" s="9"/>
      <c r="E98" s="68"/>
      <c r="F98" s="71"/>
      <c r="G98" s="74"/>
      <c r="H98" s="7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</sheetData>
  <autoFilter ref="A10:AL98" xr:uid="{0389DD10-0AC2-461A-BA2F-54E478B0327A}">
    <filterColumn colId="2">
      <filters>
        <filter val="Keypad - 3.1 - HH (P/E)1"/>
        <filter val="Keypad - 3.1 - HH (P/E)12"/>
        <filter val="Keypad - 3.1 - HH (P/E)126"/>
      </filters>
    </filterColumn>
  </autoFilter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93:H93"/>
    <mergeCell ref="G94:H94"/>
    <mergeCell ref="G95:H95"/>
    <mergeCell ref="B96:B98"/>
    <mergeCell ref="E96:E98"/>
    <mergeCell ref="F96:F98"/>
    <mergeCell ref="G96:H98"/>
  </mergeCells>
  <conditionalFormatting sqref="AI11:AI91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9100-55B3-4B0A-9BCF-4BCD57F79597}">
  <sheetPr filterMode="1"/>
  <dimension ref="A1:AO98"/>
  <sheetViews>
    <sheetView workbookViewId="0">
      <pane xSplit="3" ySplit="10" topLeftCell="G48" activePane="bottomRight" state="frozen"/>
      <selection pane="topRight" activeCell="D1" sqref="D1"/>
      <selection pane="bottomLeft" activeCell="A11" sqref="A11"/>
      <selection pane="bottomRight" activeCell="U80" sqref="U80"/>
    </sheetView>
  </sheetViews>
  <sheetFormatPr defaultRowHeight="15" x14ac:dyDescent="0.25"/>
  <cols>
    <col min="2" max="2" width="12.28515625" bestFit="1" customWidth="1"/>
    <col min="3" max="3" width="37.28515625" bestFit="1" customWidth="1"/>
    <col min="7" max="34" width="10.140625" bestFit="1" customWidth="1"/>
    <col min="35" max="37" width="10.140625" customWidth="1"/>
  </cols>
  <sheetData>
    <row r="1" spans="1:41" ht="22.5" x14ac:dyDescent="0.25">
      <c r="E1" s="40" t="s">
        <v>29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41" x14ac:dyDescent="0.25">
      <c r="E2" s="41" t="s">
        <v>30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</row>
    <row r="3" spans="1:41" ht="15.75" x14ac:dyDescent="0.25">
      <c r="E3" s="44" t="s">
        <v>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41" x14ac:dyDescent="0.25">
      <c r="E4" s="45" t="s">
        <v>1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1:41" ht="15.75" x14ac:dyDescent="0.25">
      <c r="E5" s="46" t="s">
        <v>2</v>
      </c>
      <c r="F5" s="46"/>
      <c r="G5" s="46"/>
      <c r="H5" s="47" t="s">
        <v>3</v>
      </c>
      <c r="I5" s="48"/>
      <c r="J5" s="49"/>
      <c r="K5" s="50" t="s">
        <v>4</v>
      </c>
      <c r="L5" s="50"/>
      <c r="M5" s="13">
        <v>0</v>
      </c>
      <c r="N5" s="51" t="s">
        <v>5</v>
      </c>
      <c r="O5" s="51"/>
      <c r="P5" s="52"/>
      <c r="Q5" s="53"/>
    </row>
    <row r="6" spans="1:41" ht="15.75" x14ac:dyDescent="0.25">
      <c r="E6" s="46" t="s">
        <v>6</v>
      </c>
      <c r="F6" s="46"/>
      <c r="G6" s="46"/>
      <c r="H6" s="54" t="s">
        <v>7</v>
      </c>
      <c r="I6" s="54"/>
      <c r="J6" s="54"/>
      <c r="K6" s="50" t="s">
        <v>8</v>
      </c>
      <c r="L6" s="50"/>
      <c r="M6" s="55" t="s">
        <v>9</v>
      </c>
      <c r="N6" s="55"/>
      <c r="O6" s="55"/>
      <c r="P6" s="55"/>
      <c r="Q6" s="55"/>
    </row>
    <row r="7" spans="1:41" ht="15.75" x14ac:dyDescent="0.25">
      <c r="E7" s="50" t="s">
        <v>10</v>
      </c>
      <c r="F7" s="50"/>
      <c r="G7" s="50"/>
      <c r="H7" s="56"/>
      <c r="I7" s="56"/>
      <c r="J7" s="56"/>
      <c r="K7" s="50" t="s">
        <v>11</v>
      </c>
      <c r="L7" s="50"/>
      <c r="M7" s="55"/>
      <c r="N7" s="55"/>
      <c r="O7" s="55"/>
      <c r="P7" s="55"/>
      <c r="Q7" s="55"/>
    </row>
    <row r="9" spans="1:41" x14ac:dyDescent="0.25">
      <c r="A9" t="s">
        <v>12</v>
      </c>
    </row>
    <row r="10" spans="1:41" ht="26.25" x14ac:dyDescent="0.25">
      <c r="A10" s="29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4" t="s">
        <v>183</v>
      </c>
      <c r="G10" s="15">
        <v>46082</v>
      </c>
      <c r="H10" s="15">
        <v>46083</v>
      </c>
      <c r="I10" s="15">
        <v>46084</v>
      </c>
      <c r="J10" s="15">
        <v>46085</v>
      </c>
      <c r="K10" s="15">
        <v>46086</v>
      </c>
      <c r="L10" s="15">
        <v>46087</v>
      </c>
      <c r="M10" s="15">
        <v>46088</v>
      </c>
      <c r="N10" s="15">
        <v>46089</v>
      </c>
      <c r="O10" s="15">
        <v>46090</v>
      </c>
      <c r="P10" s="15">
        <v>46091</v>
      </c>
      <c r="Q10" s="15">
        <v>46092</v>
      </c>
      <c r="R10" s="15">
        <v>46093</v>
      </c>
      <c r="S10" s="15">
        <v>46094</v>
      </c>
      <c r="T10" s="15">
        <v>46095</v>
      </c>
      <c r="U10" s="15">
        <v>46096</v>
      </c>
      <c r="V10" s="15">
        <v>46097</v>
      </c>
      <c r="W10" s="15">
        <v>46098</v>
      </c>
      <c r="X10" s="15">
        <v>46099</v>
      </c>
      <c r="Y10" s="15">
        <v>46100</v>
      </c>
      <c r="Z10" s="15">
        <v>46101</v>
      </c>
      <c r="AA10" s="15">
        <v>46102</v>
      </c>
      <c r="AB10" s="15">
        <v>46103</v>
      </c>
      <c r="AC10" s="15">
        <v>46104</v>
      </c>
      <c r="AD10" s="15">
        <v>46105</v>
      </c>
      <c r="AE10" s="15">
        <v>46106</v>
      </c>
      <c r="AF10" s="15">
        <v>46107</v>
      </c>
      <c r="AG10" s="15">
        <v>46108</v>
      </c>
      <c r="AH10" s="15">
        <v>46109</v>
      </c>
      <c r="AI10" s="15">
        <v>46110</v>
      </c>
      <c r="AJ10" s="15">
        <v>46111</v>
      </c>
      <c r="AK10" s="15">
        <v>46112</v>
      </c>
      <c r="AL10" s="14" t="s">
        <v>184</v>
      </c>
      <c r="AM10" s="3" t="s">
        <v>18</v>
      </c>
      <c r="AN10" s="3" t="s">
        <v>19</v>
      </c>
      <c r="AO10" s="3" t="s">
        <v>20</v>
      </c>
    </row>
    <row r="11" spans="1:41" hidden="1" x14ac:dyDescent="0.25">
      <c r="A11" s="13" t="s">
        <v>180</v>
      </c>
      <c r="B11" s="22" t="s">
        <v>31</v>
      </c>
      <c r="C11" s="22" t="s">
        <v>32</v>
      </c>
      <c r="D11" s="13"/>
      <c r="E11" s="13"/>
      <c r="F11" s="37">
        <f>'Feb 2026'!AI11</f>
        <v>23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6">
        <f t="shared" ref="AL11:AL74" si="0">F11+SUM(G11:AH11)</f>
        <v>23</v>
      </c>
    </row>
    <row r="12" spans="1:41" hidden="1" x14ac:dyDescent="0.25">
      <c r="A12" s="13" t="s">
        <v>180</v>
      </c>
      <c r="B12" s="22" t="s">
        <v>33</v>
      </c>
      <c r="C12" s="22" t="s">
        <v>34</v>
      </c>
      <c r="D12" s="13"/>
      <c r="E12" s="13"/>
      <c r="F12" s="37">
        <f>'Feb 2026'!AI12</f>
        <v>498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>
        <v>-1</v>
      </c>
      <c r="AA12" s="30"/>
      <c r="AB12" s="30"/>
      <c r="AC12" s="30"/>
      <c r="AD12" s="30">
        <v>-26</v>
      </c>
      <c r="AE12" s="30"/>
      <c r="AF12" s="30"/>
      <c r="AG12" s="30">
        <v>-21</v>
      </c>
      <c r="AH12" s="30"/>
      <c r="AI12" s="30"/>
      <c r="AJ12" s="30"/>
      <c r="AK12" s="30"/>
      <c r="AL12" s="36">
        <f t="shared" si="0"/>
        <v>450</v>
      </c>
    </row>
    <row r="13" spans="1:41" hidden="1" x14ac:dyDescent="0.25">
      <c r="A13" s="13" t="s">
        <v>180</v>
      </c>
      <c r="B13" s="22" t="s">
        <v>35</v>
      </c>
      <c r="C13" s="22" t="s">
        <v>36</v>
      </c>
      <c r="D13" s="13"/>
      <c r="E13" s="13"/>
      <c r="F13" s="37">
        <f>'Feb 2026'!AI13</f>
        <v>25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6">
        <f t="shared" si="0"/>
        <v>25</v>
      </c>
    </row>
    <row r="14" spans="1:41" hidden="1" x14ac:dyDescent="0.25">
      <c r="A14" s="13" t="s">
        <v>181</v>
      </c>
      <c r="B14" s="22" t="s">
        <v>37</v>
      </c>
      <c r="C14" s="22" t="s">
        <v>38</v>
      </c>
      <c r="D14" s="13"/>
      <c r="E14" s="13"/>
      <c r="F14" s="37">
        <f>'Feb 2026'!AI14</f>
        <v>470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6">
        <f t="shared" si="0"/>
        <v>470</v>
      </c>
    </row>
    <row r="15" spans="1:41" hidden="1" x14ac:dyDescent="0.25">
      <c r="A15" s="13" t="s">
        <v>180</v>
      </c>
      <c r="B15" s="22" t="s">
        <v>39</v>
      </c>
      <c r="C15" s="22" t="s">
        <v>40</v>
      </c>
      <c r="D15" s="13"/>
      <c r="E15" s="13"/>
      <c r="F15" s="37">
        <f>'Feb 2026'!AI15</f>
        <v>78</v>
      </c>
      <c r="G15" s="30"/>
      <c r="H15" s="30"/>
      <c r="I15" s="30"/>
      <c r="J15" s="32"/>
      <c r="K15" s="30"/>
      <c r="L15" s="30"/>
      <c r="M15" s="30">
        <v>-5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6">
        <f t="shared" si="0"/>
        <v>73</v>
      </c>
    </row>
    <row r="16" spans="1:41" hidden="1" x14ac:dyDescent="0.25">
      <c r="A16" s="13" t="s">
        <v>180</v>
      </c>
      <c r="B16" s="22" t="s">
        <v>41</v>
      </c>
      <c r="C16" s="22" t="s">
        <v>42</v>
      </c>
      <c r="D16" s="13"/>
      <c r="E16" s="13"/>
      <c r="F16" s="37">
        <f>'Feb 2026'!AI16</f>
        <v>10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6">
        <f t="shared" si="0"/>
        <v>10</v>
      </c>
    </row>
    <row r="17" spans="1:38" hidden="1" x14ac:dyDescent="0.25">
      <c r="A17" s="13" t="s">
        <v>180</v>
      </c>
      <c r="B17" s="22" t="s">
        <v>43</v>
      </c>
      <c r="C17" s="22" t="s">
        <v>44</v>
      </c>
      <c r="D17" s="13"/>
      <c r="E17" s="13"/>
      <c r="F17" s="37">
        <f>'Feb 2026'!AI17</f>
        <v>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6">
        <f t="shared" si="0"/>
        <v>8</v>
      </c>
    </row>
    <row r="18" spans="1:38" hidden="1" x14ac:dyDescent="0.25">
      <c r="A18" s="13" t="s">
        <v>180</v>
      </c>
      <c r="B18" s="22" t="s">
        <v>45</v>
      </c>
      <c r="C18" s="22" t="s">
        <v>46</v>
      </c>
      <c r="D18" s="13"/>
      <c r="E18" s="13"/>
      <c r="F18" s="37">
        <f>'Feb 2026'!AI18</f>
        <v>9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6">
        <f t="shared" si="0"/>
        <v>9</v>
      </c>
    </row>
    <row r="19" spans="1:38" hidden="1" x14ac:dyDescent="0.25">
      <c r="A19" s="13"/>
      <c r="B19" s="22" t="s">
        <v>47</v>
      </c>
      <c r="C19" s="22" t="s">
        <v>48</v>
      </c>
      <c r="D19" s="13"/>
      <c r="E19" s="13"/>
      <c r="F19" s="37">
        <f>'Feb 2026'!AI19</f>
        <v>0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6">
        <f t="shared" si="0"/>
        <v>0</v>
      </c>
    </row>
    <row r="20" spans="1:38" hidden="1" x14ac:dyDescent="0.25">
      <c r="A20" s="13" t="s">
        <v>181</v>
      </c>
      <c r="B20" s="22" t="s">
        <v>49</v>
      </c>
      <c r="C20" s="22" t="s">
        <v>50</v>
      </c>
      <c r="D20" s="13"/>
      <c r="E20" s="13"/>
      <c r="F20" s="37">
        <f>'Feb 2026'!AI20</f>
        <v>239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6">
        <f t="shared" si="0"/>
        <v>239</v>
      </c>
    </row>
    <row r="21" spans="1:38" hidden="1" x14ac:dyDescent="0.25">
      <c r="A21" s="13" t="s">
        <v>180</v>
      </c>
      <c r="B21" s="22" t="s">
        <v>51</v>
      </c>
      <c r="C21" s="22" t="s">
        <v>52</v>
      </c>
      <c r="D21" s="13"/>
      <c r="E21" s="13"/>
      <c r="F21" s="37">
        <f>'Feb 2026'!AI21</f>
        <v>9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6">
        <f t="shared" si="0"/>
        <v>9</v>
      </c>
    </row>
    <row r="22" spans="1:38" hidden="1" x14ac:dyDescent="0.25">
      <c r="A22" s="13" t="s">
        <v>181</v>
      </c>
      <c r="B22" s="22" t="s">
        <v>53</v>
      </c>
      <c r="C22" s="22" t="s">
        <v>54</v>
      </c>
      <c r="D22" s="13"/>
      <c r="E22" s="13"/>
      <c r="F22" s="37">
        <f>'Feb 2026'!AI22</f>
        <v>260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6">
        <f t="shared" si="0"/>
        <v>260</v>
      </c>
    </row>
    <row r="23" spans="1:38" hidden="1" x14ac:dyDescent="0.25">
      <c r="A23" s="13" t="s">
        <v>180</v>
      </c>
      <c r="B23" s="22" t="s">
        <v>55</v>
      </c>
      <c r="C23" s="22" t="s">
        <v>56</v>
      </c>
      <c r="D23" s="13"/>
      <c r="E23" s="13"/>
      <c r="F23" s="37">
        <f>'Feb 2026'!AI23</f>
        <v>77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6">
        <f t="shared" si="0"/>
        <v>77</v>
      </c>
    </row>
    <row r="24" spans="1:38" hidden="1" x14ac:dyDescent="0.25">
      <c r="A24" s="13" t="s">
        <v>180</v>
      </c>
      <c r="B24" s="22" t="s">
        <v>57</v>
      </c>
      <c r="C24" s="22" t="s">
        <v>58</v>
      </c>
      <c r="D24" s="13"/>
      <c r="E24" s="13"/>
      <c r="F24" s="37">
        <f>'Feb 2026'!AI24</f>
        <v>33</v>
      </c>
      <c r="G24" s="30"/>
      <c r="H24" s="30"/>
      <c r="I24" s="30"/>
      <c r="J24" s="30"/>
      <c r="K24" s="30"/>
      <c r="L24" s="30"/>
      <c r="M24" s="30"/>
      <c r="N24" s="30"/>
      <c r="O24" s="30">
        <v>-20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6">
        <f t="shared" si="0"/>
        <v>13</v>
      </c>
    </row>
    <row r="25" spans="1:38" hidden="1" x14ac:dyDescent="0.25">
      <c r="A25" s="13" t="s">
        <v>180</v>
      </c>
      <c r="B25" s="22" t="s">
        <v>59</v>
      </c>
      <c r="C25" s="22" t="s">
        <v>60</v>
      </c>
      <c r="D25" s="13"/>
      <c r="E25" s="13"/>
      <c r="F25" s="37">
        <f>'Feb 2026'!AI25</f>
        <v>477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6">
        <f t="shared" si="0"/>
        <v>477</v>
      </c>
    </row>
    <row r="26" spans="1:38" hidden="1" x14ac:dyDescent="0.25">
      <c r="A26" s="13" t="s">
        <v>180</v>
      </c>
      <c r="B26" s="22" t="s">
        <v>61</v>
      </c>
      <c r="C26" s="22" t="s">
        <v>62</v>
      </c>
      <c r="D26" s="13"/>
      <c r="E26" s="13"/>
      <c r="F26" s="37">
        <f>'Feb 2026'!AI26</f>
        <v>393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6">
        <f t="shared" si="0"/>
        <v>393</v>
      </c>
    </row>
    <row r="27" spans="1:38" hidden="1" x14ac:dyDescent="0.25">
      <c r="A27" s="13" t="s">
        <v>182</v>
      </c>
      <c r="B27" s="22" t="s">
        <v>63</v>
      </c>
      <c r="C27" s="22" t="s">
        <v>64</v>
      </c>
      <c r="D27" s="13"/>
      <c r="E27" s="13"/>
      <c r="F27" s="37">
        <f>'Feb 2026'!AI27</f>
        <v>66</v>
      </c>
      <c r="G27" s="30"/>
      <c r="H27" s="30"/>
      <c r="I27" s="32"/>
      <c r="J27" s="30"/>
      <c r="K27" s="30"/>
      <c r="L27" s="30"/>
      <c r="M27" s="30">
        <f>-2+-2</f>
        <v>-4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6">
        <f t="shared" si="0"/>
        <v>62</v>
      </c>
    </row>
    <row r="28" spans="1:38" hidden="1" x14ac:dyDescent="0.25">
      <c r="A28" s="13" t="s">
        <v>182</v>
      </c>
      <c r="B28" s="22" t="s">
        <v>65</v>
      </c>
      <c r="C28" s="22" t="s">
        <v>66</v>
      </c>
      <c r="D28" s="13"/>
      <c r="E28" s="13"/>
      <c r="F28" s="37">
        <f>'Feb 2026'!AI28</f>
        <v>9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6">
        <f t="shared" si="0"/>
        <v>9</v>
      </c>
    </row>
    <row r="29" spans="1:38" hidden="1" x14ac:dyDescent="0.25">
      <c r="A29" s="13" t="s">
        <v>180</v>
      </c>
      <c r="B29" s="22" t="s">
        <v>67</v>
      </c>
      <c r="C29" s="22" t="s">
        <v>68</v>
      </c>
      <c r="D29" s="13"/>
      <c r="E29" s="13"/>
      <c r="F29" s="37">
        <f>'Feb 2026'!AI29</f>
        <v>8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6">
        <f t="shared" si="0"/>
        <v>8</v>
      </c>
    </row>
    <row r="30" spans="1:38" hidden="1" x14ac:dyDescent="0.25">
      <c r="A30" s="13" t="s">
        <v>182</v>
      </c>
      <c r="B30" s="22" t="s">
        <v>69</v>
      </c>
      <c r="C30" s="22" t="s">
        <v>70</v>
      </c>
      <c r="D30" s="13"/>
      <c r="E30" s="13"/>
      <c r="F30" s="37">
        <f>'Feb 2026'!AI30</f>
        <v>9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6">
        <f t="shared" si="0"/>
        <v>9</v>
      </c>
    </row>
    <row r="31" spans="1:38" hidden="1" x14ac:dyDescent="0.25">
      <c r="A31" s="13" t="s">
        <v>182</v>
      </c>
      <c r="B31" s="22" t="s">
        <v>71</v>
      </c>
      <c r="C31" s="22" t="s">
        <v>72</v>
      </c>
      <c r="D31" s="13"/>
      <c r="E31" s="13"/>
      <c r="F31" s="37">
        <f>'Feb 2026'!AI31</f>
        <v>9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6">
        <f t="shared" si="0"/>
        <v>9</v>
      </c>
    </row>
    <row r="32" spans="1:38" hidden="1" x14ac:dyDescent="0.25">
      <c r="A32" s="13" t="s">
        <v>182</v>
      </c>
      <c r="B32" s="22" t="s">
        <v>73</v>
      </c>
      <c r="C32" s="22" t="s">
        <v>74</v>
      </c>
      <c r="D32" s="13"/>
      <c r="E32" s="13"/>
      <c r="F32" s="37">
        <f>'Feb 2026'!AI32</f>
        <v>12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6">
        <f t="shared" si="0"/>
        <v>12</v>
      </c>
    </row>
    <row r="33" spans="1:38" hidden="1" x14ac:dyDescent="0.25">
      <c r="A33" s="13" t="s">
        <v>182</v>
      </c>
      <c r="B33" s="22" t="s">
        <v>75</v>
      </c>
      <c r="C33" s="22" t="s">
        <v>76</v>
      </c>
      <c r="D33" s="13"/>
      <c r="E33" s="13"/>
      <c r="F33" s="37">
        <f>'Feb 2026'!AI33</f>
        <v>2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>
        <v>-1</v>
      </c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6">
        <f t="shared" si="0"/>
        <v>1</v>
      </c>
    </row>
    <row r="34" spans="1:38" hidden="1" x14ac:dyDescent="0.25">
      <c r="A34" s="13" t="s">
        <v>180</v>
      </c>
      <c r="B34" s="22" t="s">
        <v>77</v>
      </c>
      <c r="C34" s="22" t="s">
        <v>78</v>
      </c>
      <c r="D34" s="13"/>
      <c r="E34" s="13"/>
      <c r="F34" s="37">
        <f>'Feb 2026'!AI34</f>
        <v>410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6">
        <f t="shared" si="0"/>
        <v>410</v>
      </c>
    </row>
    <row r="35" spans="1:38" hidden="1" x14ac:dyDescent="0.25">
      <c r="A35" s="13" t="s">
        <v>182</v>
      </c>
      <c r="B35" s="22" t="s">
        <v>79</v>
      </c>
      <c r="C35" s="22" t="s">
        <v>80</v>
      </c>
      <c r="D35" s="13"/>
      <c r="E35" s="13"/>
      <c r="F35" s="37">
        <f>'Feb 2026'!AI35</f>
        <v>7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6">
        <f t="shared" si="0"/>
        <v>7</v>
      </c>
    </row>
    <row r="36" spans="1:38" hidden="1" x14ac:dyDescent="0.25">
      <c r="A36" s="13" t="s">
        <v>182</v>
      </c>
      <c r="B36" s="22" t="s">
        <v>81</v>
      </c>
      <c r="C36" s="22" t="s">
        <v>82</v>
      </c>
      <c r="D36" s="13"/>
      <c r="E36" s="13"/>
      <c r="F36" s="37">
        <f>'Feb 2026'!AI36</f>
        <v>12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6">
        <f t="shared" si="0"/>
        <v>12</v>
      </c>
    </row>
    <row r="37" spans="1:38" hidden="1" x14ac:dyDescent="0.25">
      <c r="A37" s="13" t="s">
        <v>182</v>
      </c>
      <c r="B37" s="22" t="s">
        <v>83</v>
      </c>
      <c r="C37" s="22" t="s">
        <v>84</v>
      </c>
      <c r="D37" s="13"/>
      <c r="E37" s="13"/>
      <c r="F37" s="37">
        <f>'Feb 2026'!AI37</f>
        <v>9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6">
        <f t="shared" si="0"/>
        <v>9</v>
      </c>
    </row>
    <row r="38" spans="1:38" hidden="1" x14ac:dyDescent="0.25">
      <c r="A38" s="13" t="s">
        <v>182</v>
      </c>
      <c r="B38" s="22" t="s">
        <v>85</v>
      </c>
      <c r="C38" s="22" t="s">
        <v>86</v>
      </c>
      <c r="D38" s="13"/>
      <c r="E38" s="13"/>
      <c r="F38" s="37">
        <f>'Feb 2026'!AI38</f>
        <v>9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6">
        <f t="shared" si="0"/>
        <v>9</v>
      </c>
    </row>
    <row r="39" spans="1:38" hidden="1" x14ac:dyDescent="0.25">
      <c r="A39" s="13" t="s">
        <v>182</v>
      </c>
      <c r="B39" s="22" t="s">
        <v>87</v>
      </c>
      <c r="C39" s="22" t="s">
        <v>88</v>
      </c>
      <c r="D39" s="13"/>
      <c r="E39" s="13"/>
      <c r="F39" s="37">
        <f>'Feb 2026'!AI39</f>
        <v>9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6">
        <f t="shared" si="0"/>
        <v>9</v>
      </c>
    </row>
    <row r="40" spans="1:38" hidden="1" x14ac:dyDescent="0.25">
      <c r="A40" s="13" t="s">
        <v>182</v>
      </c>
      <c r="B40" s="22" t="s">
        <v>89</v>
      </c>
      <c r="C40" s="22" t="s">
        <v>90</v>
      </c>
      <c r="D40" s="13"/>
      <c r="E40" s="13"/>
      <c r="F40" s="37">
        <f>'Feb 2026'!AI40</f>
        <v>83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6">
        <f t="shared" si="0"/>
        <v>83</v>
      </c>
    </row>
    <row r="41" spans="1:38" hidden="1" x14ac:dyDescent="0.25">
      <c r="A41" s="13" t="s">
        <v>182</v>
      </c>
      <c r="B41" s="22" t="s">
        <v>91</v>
      </c>
      <c r="C41" s="22" t="s">
        <v>92</v>
      </c>
      <c r="D41" s="13"/>
      <c r="E41" s="13"/>
      <c r="F41" s="37">
        <f>'Feb 2026'!AI41</f>
        <v>9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6">
        <f t="shared" si="0"/>
        <v>9</v>
      </c>
    </row>
    <row r="42" spans="1:38" hidden="1" x14ac:dyDescent="0.25">
      <c r="A42" s="13" t="s">
        <v>182</v>
      </c>
      <c r="B42" s="22" t="s">
        <v>93</v>
      </c>
      <c r="C42" s="22" t="s">
        <v>94</v>
      </c>
      <c r="D42" s="13"/>
      <c r="E42" s="13"/>
      <c r="F42" s="37">
        <f>'Feb 2026'!AI42</f>
        <v>100</v>
      </c>
      <c r="G42" s="30"/>
      <c r="H42" s="30"/>
      <c r="I42" s="30">
        <f>-5+-43</f>
        <v>-48</v>
      </c>
      <c r="J42" s="30"/>
      <c r="K42" s="30"/>
      <c r="L42" s="30"/>
      <c r="M42" s="30"/>
      <c r="N42" s="30"/>
      <c r="O42" s="30">
        <v>-33</v>
      </c>
      <c r="P42" s="30"/>
      <c r="Q42" s="30"/>
      <c r="R42" s="30"/>
      <c r="S42" s="30"/>
      <c r="T42" s="30"/>
      <c r="U42" s="30"/>
      <c r="V42" s="30">
        <v>-8</v>
      </c>
      <c r="W42" s="30">
        <v>-11</v>
      </c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6">
        <f t="shared" si="0"/>
        <v>0</v>
      </c>
    </row>
    <row r="43" spans="1:38" hidden="1" x14ac:dyDescent="0.25">
      <c r="A43" s="13" t="s">
        <v>182</v>
      </c>
      <c r="B43" s="22" t="s">
        <v>95</v>
      </c>
      <c r="C43" s="22" t="s">
        <v>96</v>
      </c>
      <c r="D43" s="13"/>
      <c r="E43" s="13"/>
      <c r="F43" s="37">
        <f>'Feb 2026'!AI43</f>
        <v>200</v>
      </c>
      <c r="G43" s="30"/>
      <c r="H43" s="30"/>
      <c r="I43" s="30"/>
      <c r="J43" s="30"/>
      <c r="K43" s="30"/>
      <c r="L43" s="30"/>
      <c r="M43" s="30">
        <f>-22+-10</f>
        <v>-32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>
        <v>-14</v>
      </c>
      <c r="AH43" s="30"/>
      <c r="AI43" s="30"/>
      <c r="AJ43" s="30">
        <v>-1</v>
      </c>
      <c r="AK43" s="30"/>
      <c r="AL43" s="36">
        <f t="shared" si="0"/>
        <v>154</v>
      </c>
    </row>
    <row r="44" spans="1:38" hidden="1" x14ac:dyDescent="0.25">
      <c r="A44" s="13" t="s">
        <v>182</v>
      </c>
      <c r="B44" s="22" t="s">
        <v>97</v>
      </c>
      <c r="C44" s="22" t="s">
        <v>98</v>
      </c>
      <c r="D44" s="13"/>
      <c r="E44" s="13"/>
      <c r="F44" s="37">
        <f>'Feb 2026'!AI44</f>
        <v>63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>
        <v>-1</v>
      </c>
      <c r="AK44" s="30"/>
      <c r="AL44" s="36">
        <f t="shared" si="0"/>
        <v>63</v>
      </c>
    </row>
    <row r="45" spans="1:38" hidden="1" x14ac:dyDescent="0.25">
      <c r="A45" s="13" t="s">
        <v>182</v>
      </c>
      <c r="B45" s="22"/>
      <c r="C45" s="22" t="s">
        <v>99</v>
      </c>
      <c r="D45" s="13"/>
      <c r="E45" s="13"/>
      <c r="F45" s="37">
        <f>'Feb 2026'!AI45</f>
        <v>39</v>
      </c>
      <c r="G45" s="30"/>
      <c r="H45" s="30"/>
      <c r="I45" s="30"/>
      <c r="J45" s="30"/>
      <c r="K45" s="30">
        <v>-30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6">
        <f t="shared" si="0"/>
        <v>9</v>
      </c>
    </row>
    <row r="46" spans="1:38" hidden="1" x14ac:dyDescent="0.25">
      <c r="A46" s="13" t="s">
        <v>182</v>
      </c>
      <c r="B46" s="22" t="s">
        <v>100</v>
      </c>
      <c r="C46" s="22" t="s">
        <v>101</v>
      </c>
      <c r="D46" s="13"/>
      <c r="E46" s="13"/>
      <c r="F46" s="37">
        <f>'Feb 2026'!AI46</f>
        <v>66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6">
        <f t="shared" si="0"/>
        <v>66</v>
      </c>
    </row>
    <row r="47" spans="1:38" hidden="1" x14ac:dyDescent="0.25">
      <c r="A47" s="13" t="s">
        <v>182</v>
      </c>
      <c r="B47" s="22" t="s">
        <v>102</v>
      </c>
      <c r="C47" s="22" t="s">
        <v>103</v>
      </c>
      <c r="D47" s="13"/>
      <c r="E47" s="13"/>
      <c r="F47" s="37">
        <f>'Feb 2026'!AI47</f>
        <v>15</v>
      </c>
      <c r="G47" s="30"/>
      <c r="H47" s="30"/>
      <c r="I47" s="30"/>
      <c r="J47" s="30"/>
      <c r="K47" s="30"/>
      <c r="L47" s="30"/>
      <c r="M47" s="30"/>
      <c r="N47" s="30"/>
      <c r="O47" s="30"/>
      <c r="P47" s="30">
        <v>-15</v>
      </c>
      <c r="Q47" s="30">
        <v>-1</v>
      </c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6">
        <f t="shared" si="0"/>
        <v>-1</v>
      </c>
    </row>
    <row r="48" spans="1:38" hidden="1" x14ac:dyDescent="0.25">
      <c r="A48" s="13" t="s">
        <v>182</v>
      </c>
      <c r="B48" s="22" t="s">
        <v>104</v>
      </c>
      <c r="C48" s="22" t="s">
        <v>105</v>
      </c>
      <c r="D48" s="13"/>
      <c r="E48" s="13"/>
      <c r="F48" s="37">
        <f>'Feb 2026'!AI48</f>
        <v>41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>
        <v>-29</v>
      </c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6">
        <f t="shared" si="0"/>
        <v>12</v>
      </c>
    </row>
    <row r="49" spans="1:38" hidden="1" x14ac:dyDescent="0.25">
      <c r="A49" s="13"/>
      <c r="B49" s="22" t="s">
        <v>106</v>
      </c>
      <c r="C49" s="22" t="s">
        <v>107</v>
      </c>
      <c r="D49" s="13"/>
      <c r="E49" s="13"/>
      <c r="F49" s="37">
        <f>'Feb 2026'!AI49</f>
        <v>0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6">
        <f t="shared" si="0"/>
        <v>0</v>
      </c>
    </row>
    <row r="50" spans="1:38" hidden="1" x14ac:dyDescent="0.25">
      <c r="A50" s="13" t="s">
        <v>182</v>
      </c>
      <c r="B50" s="22" t="s">
        <v>108</v>
      </c>
      <c r="C50" s="22" t="s">
        <v>109</v>
      </c>
      <c r="D50" s="13"/>
      <c r="E50" s="13"/>
      <c r="F50" s="37">
        <f>'Feb 2026'!AI50</f>
        <v>56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>
        <v>-1</v>
      </c>
      <c r="AA50" s="30"/>
      <c r="AB50" s="30"/>
      <c r="AC50" s="30"/>
      <c r="AD50" s="30"/>
      <c r="AE50" s="30"/>
      <c r="AF50" s="30"/>
      <c r="AG50" s="30"/>
      <c r="AH50" s="30"/>
      <c r="AI50" s="30"/>
      <c r="AJ50" s="30">
        <v>-2</v>
      </c>
      <c r="AK50" s="30"/>
      <c r="AL50" s="36">
        <f t="shared" si="0"/>
        <v>55</v>
      </c>
    </row>
    <row r="51" spans="1:38" hidden="1" x14ac:dyDescent="0.25">
      <c r="A51" s="13"/>
      <c r="B51" s="22" t="s">
        <v>110</v>
      </c>
      <c r="C51" s="22" t="s">
        <v>111</v>
      </c>
      <c r="D51" s="13"/>
      <c r="E51" s="13"/>
      <c r="F51" s="37">
        <f>'Feb 2026'!AI51</f>
        <v>0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6">
        <f t="shared" si="0"/>
        <v>0</v>
      </c>
    </row>
    <row r="52" spans="1:38" hidden="1" x14ac:dyDescent="0.25">
      <c r="A52" s="13"/>
      <c r="B52" s="22" t="s">
        <v>112</v>
      </c>
      <c r="C52" s="22" t="s">
        <v>113</v>
      </c>
      <c r="D52" s="13"/>
      <c r="E52" s="13"/>
      <c r="F52" s="37">
        <f>'Feb 2026'!AI52</f>
        <v>0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6">
        <f t="shared" si="0"/>
        <v>0</v>
      </c>
    </row>
    <row r="53" spans="1:38" hidden="1" x14ac:dyDescent="0.25">
      <c r="A53" s="13" t="s">
        <v>182</v>
      </c>
      <c r="B53" s="22" t="s">
        <v>114</v>
      </c>
      <c r="C53" s="22" t="s">
        <v>115</v>
      </c>
      <c r="D53" s="13"/>
      <c r="E53" s="13"/>
      <c r="F53" s="37">
        <f>'Feb 2026'!AI53</f>
        <v>0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6">
        <f t="shared" si="0"/>
        <v>0</v>
      </c>
    </row>
    <row r="54" spans="1:38" hidden="1" x14ac:dyDescent="0.25">
      <c r="A54" s="13" t="s">
        <v>182</v>
      </c>
      <c r="B54" s="22" t="s">
        <v>116</v>
      </c>
      <c r="C54" s="22" t="s">
        <v>117</v>
      </c>
      <c r="D54" s="13"/>
      <c r="E54" s="13"/>
      <c r="F54" s="37">
        <f>'Feb 2026'!AI54</f>
        <v>107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6">
        <f t="shared" si="0"/>
        <v>107</v>
      </c>
    </row>
    <row r="55" spans="1:38" hidden="1" x14ac:dyDescent="0.25">
      <c r="A55" s="13"/>
      <c r="B55" s="22" t="s">
        <v>118</v>
      </c>
      <c r="C55" s="22" t="s">
        <v>119</v>
      </c>
      <c r="D55" s="13"/>
      <c r="E55" s="13"/>
      <c r="F55" s="37">
        <f>'Feb 2026'!AI55</f>
        <v>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6">
        <f t="shared" si="0"/>
        <v>0</v>
      </c>
    </row>
    <row r="56" spans="1:38" hidden="1" x14ac:dyDescent="0.25">
      <c r="A56" s="13"/>
      <c r="B56" s="22" t="s">
        <v>120</v>
      </c>
      <c r="C56" s="22" t="s">
        <v>121</v>
      </c>
      <c r="D56" s="13"/>
      <c r="E56" s="13"/>
      <c r="F56" s="37">
        <f>'Feb 2026'!AI56</f>
        <v>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6">
        <f t="shared" si="0"/>
        <v>0</v>
      </c>
    </row>
    <row r="57" spans="1:38" hidden="1" x14ac:dyDescent="0.25">
      <c r="A57" s="13" t="s">
        <v>182</v>
      </c>
      <c r="B57" s="22" t="s">
        <v>122</v>
      </c>
      <c r="C57" s="22" t="s">
        <v>123</v>
      </c>
      <c r="D57" s="13"/>
      <c r="E57" s="13"/>
      <c r="F57" s="37">
        <f>'Feb 2026'!AI57</f>
        <v>59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6">
        <f t="shared" si="0"/>
        <v>59</v>
      </c>
    </row>
    <row r="58" spans="1:38" hidden="1" x14ac:dyDescent="0.25">
      <c r="A58" s="13"/>
      <c r="B58" s="22" t="s">
        <v>124</v>
      </c>
      <c r="C58" s="22" t="s">
        <v>125</v>
      </c>
      <c r="D58" s="13"/>
      <c r="E58" s="13"/>
      <c r="F58" s="37">
        <f>'Feb 2026'!AI58</f>
        <v>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6">
        <f t="shared" si="0"/>
        <v>0</v>
      </c>
    </row>
    <row r="59" spans="1:38" hidden="1" x14ac:dyDescent="0.25">
      <c r="A59" s="13"/>
      <c r="B59" s="22" t="s">
        <v>126</v>
      </c>
      <c r="C59" s="22" t="s">
        <v>127</v>
      </c>
      <c r="D59" s="13"/>
      <c r="E59" s="13"/>
      <c r="F59" s="37">
        <f>'Feb 2026'!AI59</f>
        <v>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6">
        <f t="shared" si="0"/>
        <v>0</v>
      </c>
    </row>
    <row r="60" spans="1:38" hidden="1" x14ac:dyDescent="0.25">
      <c r="A60" s="13" t="s">
        <v>182</v>
      </c>
      <c r="B60" s="22" t="s">
        <v>128</v>
      </c>
      <c r="C60" s="22" t="s">
        <v>129</v>
      </c>
      <c r="D60" s="13"/>
      <c r="E60" s="13"/>
      <c r="F60" s="37">
        <f>'Feb 2026'!AI60</f>
        <v>24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6">
        <f t="shared" si="0"/>
        <v>24</v>
      </c>
    </row>
    <row r="61" spans="1:38" hidden="1" x14ac:dyDescent="0.25">
      <c r="A61" s="13" t="s">
        <v>182</v>
      </c>
      <c r="B61" s="22" t="s">
        <v>130</v>
      </c>
      <c r="C61" s="22" t="s">
        <v>131</v>
      </c>
      <c r="D61" s="13"/>
      <c r="E61" s="13"/>
      <c r="F61" s="37">
        <f>'Feb 2026'!AI61</f>
        <v>119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>
        <v>-8</v>
      </c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6">
        <f t="shared" si="0"/>
        <v>111</v>
      </c>
    </row>
    <row r="62" spans="1:38" hidden="1" x14ac:dyDescent="0.25">
      <c r="A62" s="13" t="s">
        <v>182</v>
      </c>
      <c r="B62" s="22" t="s">
        <v>132</v>
      </c>
      <c r="C62" s="22" t="s">
        <v>133</v>
      </c>
      <c r="D62" s="13"/>
      <c r="E62" s="13"/>
      <c r="F62" s="37">
        <f>'Feb 2026'!AI62</f>
        <v>508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>
        <v>-2</v>
      </c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6">
        <f t="shared" si="0"/>
        <v>506</v>
      </c>
    </row>
    <row r="63" spans="1:38" hidden="1" x14ac:dyDescent="0.25">
      <c r="A63" s="13"/>
      <c r="B63" s="22" t="s">
        <v>134</v>
      </c>
      <c r="C63" s="22" t="s">
        <v>135</v>
      </c>
      <c r="D63" s="13"/>
      <c r="E63" s="13"/>
      <c r="F63" s="37">
        <f>'Feb 2026'!AI63</f>
        <v>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6">
        <f t="shared" si="0"/>
        <v>0</v>
      </c>
    </row>
    <row r="64" spans="1:38" hidden="1" x14ac:dyDescent="0.25">
      <c r="A64" s="13"/>
      <c r="B64" s="22" t="s">
        <v>136</v>
      </c>
      <c r="C64" s="22" t="s">
        <v>137</v>
      </c>
      <c r="D64" s="13"/>
      <c r="E64" s="13"/>
      <c r="F64" s="37">
        <f>'Feb 2026'!AI64</f>
        <v>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6">
        <f t="shared" si="0"/>
        <v>0</v>
      </c>
    </row>
    <row r="65" spans="1:38" hidden="1" x14ac:dyDescent="0.25">
      <c r="A65" s="13"/>
      <c r="B65" s="22" t="s">
        <v>138</v>
      </c>
      <c r="C65" s="22" t="s">
        <v>139</v>
      </c>
      <c r="D65" s="13"/>
      <c r="E65" s="13"/>
      <c r="F65" s="37">
        <f>'Feb 2026'!AI65</f>
        <v>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6">
        <f t="shared" si="0"/>
        <v>0</v>
      </c>
    </row>
    <row r="66" spans="1:38" hidden="1" x14ac:dyDescent="0.25">
      <c r="A66" s="13" t="s">
        <v>182</v>
      </c>
      <c r="B66" s="22" t="s">
        <v>140</v>
      </c>
      <c r="C66" s="22" t="s">
        <v>141</v>
      </c>
      <c r="D66" s="13"/>
      <c r="E66" s="13"/>
      <c r="F66" s="37">
        <f>'Feb 2026'!AI66</f>
        <v>20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6">
        <f t="shared" si="0"/>
        <v>20</v>
      </c>
    </row>
    <row r="67" spans="1:38" hidden="1" x14ac:dyDescent="0.25">
      <c r="A67" s="13"/>
      <c r="B67" s="22" t="s">
        <v>142</v>
      </c>
      <c r="C67" s="22" t="s">
        <v>143</v>
      </c>
      <c r="D67" s="13"/>
      <c r="E67" s="13"/>
      <c r="F67" s="37">
        <f>'Feb 2026'!AI67</f>
        <v>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6">
        <f t="shared" si="0"/>
        <v>0</v>
      </c>
    </row>
    <row r="68" spans="1:38" hidden="1" x14ac:dyDescent="0.25">
      <c r="A68" s="13" t="s">
        <v>182</v>
      </c>
      <c r="B68" s="22" t="s">
        <v>144</v>
      </c>
      <c r="C68" s="22" t="s">
        <v>145</v>
      </c>
      <c r="D68" s="13"/>
      <c r="E68" s="13"/>
      <c r="F68" s="37">
        <f>'Feb 2026'!AI68</f>
        <v>17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6">
        <f t="shared" si="0"/>
        <v>17</v>
      </c>
    </row>
    <row r="69" spans="1:38" hidden="1" x14ac:dyDescent="0.25">
      <c r="A69" s="13" t="s">
        <v>182</v>
      </c>
      <c r="B69" s="22" t="s">
        <v>146</v>
      </c>
      <c r="C69" s="22" t="s">
        <v>147</v>
      </c>
      <c r="D69" s="13"/>
      <c r="E69" s="13"/>
      <c r="F69" s="37">
        <f>'Feb 2026'!AI69</f>
        <v>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6">
        <f t="shared" si="0"/>
        <v>0</v>
      </c>
    </row>
    <row r="70" spans="1:38" hidden="1" x14ac:dyDescent="0.25">
      <c r="A70" s="13" t="s">
        <v>182</v>
      </c>
      <c r="B70" s="22" t="s">
        <v>148</v>
      </c>
      <c r="C70" s="22" t="s">
        <v>149</v>
      </c>
      <c r="D70" s="13"/>
      <c r="E70" s="13"/>
      <c r="F70" s="37">
        <f>'Feb 2026'!AI70</f>
        <v>54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6">
        <f t="shared" si="0"/>
        <v>54</v>
      </c>
    </row>
    <row r="71" spans="1:38" hidden="1" x14ac:dyDescent="0.25">
      <c r="A71" s="13"/>
      <c r="B71" s="22" t="s">
        <v>150</v>
      </c>
      <c r="C71" s="22" t="s">
        <v>151</v>
      </c>
      <c r="D71" s="13"/>
      <c r="E71" s="13"/>
      <c r="F71" s="37">
        <f>'Feb 2026'!AI71</f>
        <v>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6">
        <f t="shared" si="0"/>
        <v>0</v>
      </c>
    </row>
    <row r="72" spans="1:38" hidden="1" x14ac:dyDescent="0.25">
      <c r="A72" s="13"/>
      <c r="B72" s="22" t="s">
        <v>152</v>
      </c>
      <c r="C72" s="22" t="s">
        <v>153</v>
      </c>
      <c r="D72" s="13"/>
      <c r="E72" s="13"/>
      <c r="F72" s="37">
        <f>'Feb 2026'!AI72</f>
        <v>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6">
        <f t="shared" si="0"/>
        <v>0</v>
      </c>
    </row>
    <row r="73" spans="1:38" hidden="1" x14ac:dyDescent="0.25">
      <c r="A73" s="13"/>
      <c r="B73" s="22" t="s">
        <v>154</v>
      </c>
      <c r="C73" s="22" t="s">
        <v>155</v>
      </c>
      <c r="D73" s="13"/>
      <c r="E73" s="13"/>
      <c r="F73" s="37">
        <f>'Feb 2026'!AI73</f>
        <v>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6">
        <f t="shared" si="0"/>
        <v>0</v>
      </c>
    </row>
    <row r="74" spans="1:38" hidden="1" x14ac:dyDescent="0.25">
      <c r="A74" s="13"/>
      <c r="B74" s="22" t="s">
        <v>156</v>
      </c>
      <c r="C74" s="22" t="s">
        <v>157</v>
      </c>
      <c r="D74" s="13"/>
      <c r="E74" s="13"/>
      <c r="F74" s="37">
        <f>'Feb 2026'!AI74</f>
        <v>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6">
        <f t="shared" si="0"/>
        <v>0</v>
      </c>
    </row>
    <row r="75" spans="1:38" hidden="1" x14ac:dyDescent="0.25">
      <c r="A75" s="13"/>
      <c r="B75" s="22" t="s">
        <v>158</v>
      </c>
      <c r="C75" s="22" t="s">
        <v>159</v>
      </c>
      <c r="D75" s="13"/>
      <c r="E75" s="13"/>
      <c r="F75" s="37">
        <f>'Feb 2026'!AI75</f>
        <v>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6">
        <f>F75+SUM(G75:AH75)</f>
        <v>0</v>
      </c>
    </row>
    <row r="76" spans="1:38" hidden="1" x14ac:dyDescent="0.25">
      <c r="A76" s="13" t="s">
        <v>182</v>
      </c>
      <c r="B76" s="22" t="s">
        <v>160</v>
      </c>
      <c r="C76" s="22" t="s">
        <v>161</v>
      </c>
      <c r="D76" s="13"/>
      <c r="E76" s="13"/>
      <c r="F76" s="37">
        <f>'Feb 2026'!AI76</f>
        <v>27</v>
      </c>
      <c r="G76" s="30"/>
      <c r="H76" s="30"/>
      <c r="I76" s="30"/>
      <c r="J76" s="30"/>
      <c r="K76" s="30">
        <f>-23+-4</f>
        <v>-27</v>
      </c>
      <c r="L76" s="30"/>
      <c r="M76" s="30"/>
      <c r="N76" s="30"/>
      <c r="O76" s="30"/>
      <c r="P76" s="30"/>
      <c r="Q76" s="30"/>
      <c r="R76" s="30"/>
      <c r="S76" s="30"/>
      <c r="T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>
        <v>-42</v>
      </c>
      <c r="AK76" s="30"/>
      <c r="AL76" s="36">
        <f>F76+SUM(G76:AK76)</f>
        <v>-42</v>
      </c>
    </row>
    <row r="77" spans="1:38" hidden="1" x14ac:dyDescent="0.25">
      <c r="A77" s="13" t="s">
        <v>182</v>
      </c>
      <c r="B77" s="22" t="s">
        <v>162</v>
      </c>
      <c r="C77" s="22" t="s">
        <v>163</v>
      </c>
      <c r="D77" s="13"/>
      <c r="E77" s="13"/>
      <c r="F77" s="37">
        <f>'Feb 2026'!AI77</f>
        <v>31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6">
        <f>F77+SUM(G77:AH77)</f>
        <v>31</v>
      </c>
    </row>
    <row r="78" spans="1:38" hidden="1" x14ac:dyDescent="0.25">
      <c r="A78" s="13" t="s">
        <v>182</v>
      </c>
      <c r="B78" s="22" t="s">
        <v>164</v>
      </c>
      <c r="C78" s="22" t="s">
        <v>165</v>
      </c>
      <c r="D78" s="13"/>
      <c r="E78" s="13"/>
      <c r="F78" s="37">
        <f>'Feb 2026'!AI78</f>
        <v>116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6">
        <f>F78+SUM(G78:AH78)</f>
        <v>116</v>
      </c>
    </row>
    <row r="79" spans="1:38" hidden="1" x14ac:dyDescent="0.25">
      <c r="A79" s="13" t="s">
        <v>182</v>
      </c>
      <c r="B79" s="22" t="s">
        <v>166</v>
      </c>
      <c r="C79" s="22" t="s">
        <v>167</v>
      </c>
      <c r="D79" s="13"/>
      <c r="E79" s="13"/>
      <c r="F79" s="37">
        <f>'Feb 2026'!AI79</f>
        <v>133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6">
        <f>F79+SUM(G79:AH79)</f>
        <v>133</v>
      </c>
    </row>
    <row r="80" spans="1:38" x14ac:dyDescent="0.25">
      <c r="A80" s="13" t="s">
        <v>182</v>
      </c>
      <c r="B80" s="22" t="s">
        <v>168</v>
      </c>
      <c r="C80" s="22" t="s">
        <v>169</v>
      </c>
      <c r="D80" s="13"/>
      <c r="E80" s="13"/>
      <c r="F80" s="37">
        <f>'Feb 2026'!AI80</f>
        <v>224</v>
      </c>
      <c r="G80" s="30"/>
      <c r="H80" s="30"/>
      <c r="I80" s="30"/>
      <c r="J80" s="30"/>
      <c r="K80" s="30"/>
      <c r="L80" s="30">
        <f>-14+-1</f>
        <v>-15</v>
      </c>
      <c r="M80" s="30"/>
      <c r="N80" s="30"/>
      <c r="O80" s="30"/>
      <c r="P80" s="30"/>
      <c r="Q80" s="30"/>
      <c r="R80" s="30"/>
      <c r="S80" s="30"/>
      <c r="T80" s="30"/>
      <c r="V80" s="30"/>
      <c r="W80" s="30"/>
      <c r="X80" s="30"/>
      <c r="Y80" s="30"/>
      <c r="Z80" s="30">
        <v>-3</v>
      </c>
      <c r="AA80" s="30"/>
      <c r="AB80" s="30"/>
      <c r="AC80" s="30"/>
      <c r="AD80" s="30"/>
      <c r="AE80" s="30"/>
      <c r="AF80" s="30"/>
      <c r="AG80" s="30">
        <v>-38</v>
      </c>
      <c r="AH80" s="30"/>
      <c r="AI80" s="30"/>
      <c r="AJ80" s="30">
        <v>-21</v>
      </c>
      <c r="AK80" s="30"/>
      <c r="AL80" s="36">
        <f>F80+SUM(G80:AH80)</f>
        <v>168</v>
      </c>
    </row>
    <row r="81" spans="1:41" hidden="1" x14ac:dyDescent="0.25">
      <c r="A81" s="13" t="s">
        <v>182</v>
      </c>
      <c r="B81" s="22" t="s">
        <v>170</v>
      </c>
      <c r="C81" s="22" t="s">
        <v>171</v>
      </c>
      <c r="D81" s="13"/>
      <c r="E81" s="13"/>
      <c r="F81" s="37">
        <f>'Feb 2026'!AI81</f>
        <v>271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6">
        <f>F81+SUM(G81:AH81)</f>
        <v>271</v>
      </c>
    </row>
    <row r="82" spans="1:41" hidden="1" x14ac:dyDescent="0.25">
      <c r="A82" s="13" t="s">
        <v>182</v>
      </c>
      <c r="B82" s="22" t="s">
        <v>172</v>
      </c>
      <c r="C82" s="22" t="s">
        <v>173</v>
      </c>
      <c r="D82" s="13"/>
      <c r="E82" s="13"/>
      <c r="F82" s="37">
        <f>'Feb 2026'!AI82</f>
        <v>249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6">
        <f>F82+SUM(G82:AH82)</f>
        <v>249</v>
      </c>
    </row>
    <row r="83" spans="1:41" hidden="1" x14ac:dyDescent="0.25">
      <c r="A83" s="13" t="s">
        <v>182</v>
      </c>
      <c r="B83" s="22" t="s">
        <v>174</v>
      </c>
      <c r="C83" s="22" t="s">
        <v>175</v>
      </c>
      <c r="D83" s="13"/>
      <c r="E83" s="13"/>
      <c r="F83" s="37">
        <f>'Feb 2026'!AI83</f>
        <v>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6">
        <f>F83+SUM(G83:AH83)</f>
        <v>53</v>
      </c>
    </row>
    <row r="84" spans="1:41" hidden="1" x14ac:dyDescent="0.25">
      <c r="A84" s="13" t="s">
        <v>182</v>
      </c>
      <c r="B84" s="22" t="s">
        <v>176</v>
      </c>
      <c r="C84" s="22" t="s">
        <v>177</v>
      </c>
      <c r="D84" s="13"/>
      <c r="E84" s="13"/>
      <c r="F84" s="37">
        <f>'Feb 2026'!AI84</f>
        <v>40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>
        <v>-6</v>
      </c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6">
        <f>F84+SUM(G84:AH84)</f>
        <v>34</v>
      </c>
    </row>
    <row r="85" spans="1:41" hidden="1" x14ac:dyDescent="0.25">
      <c r="A85" s="13" t="s">
        <v>182</v>
      </c>
      <c r="B85" s="22" t="s">
        <v>178</v>
      </c>
      <c r="C85" s="22" t="s">
        <v>179</v>
      </c>
      <c r="D85" s="13"/>
      <c r="E85" s="13"/>
      <c r="F85" s="37">
        <f>'Feb 2026'!AI85</f>
        <v>58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6">
        <f>F85+SUM(G85:AH85)</f>
        <v>58</v>
      </c>
    </row>
    <row r="86" spans="1:41" hidden="1" x14ac:dyDescent="0.25">
      <c r="A86" s="13"/>
      <c r="B86" s="22"/>
      <c r="C86" s="2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36">
        <f>F86+SUM(G86:AH86)</f>
        <v>0</v>
      </c>
    </row>
    <row r="87" spans="1:41" hidden="1" x14ac:dyDescent="0.25">
      <c r="A87" s="13"/>
      <c r="B87" s="22"/>
      <c r="C87" s="2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36">
        <f>F87+SUM(G87:AH87)</f>
        <v>0</v>
      </c>
    </row>
    <row r="88" spans="1:41" hidden="1" x14ac:dyDescent="0.25">
      <c r="A88" s="13"/>
      <c r="B88" s="22"/>
      <c r="C88" s="2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36">
        <f>F88+SUM(G88:AH88)</f>
        <v>0</v>
      </c>
    </row>
    <row r="89" spans="1:41" x14ac:dyDescent="0.25">
      <c r="A89" s="13"/>
      <c r="B89" s="22"/>
      <c r="C89" s="2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6"/>
    </row>
    <row r="90" spans="1:41" x14ac:dyDescent="0.25">
      <c r="A90" s="13"/>
      <c r="B90" s="22"/>
      <c r="C90" s="2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6"/>
    </row>
    <row r="91" spans="1:41" ht="15.75" thickBot="1" x14ac:dyDescent="0.3">
      <c r="A91" s="1"/>
      <c r="B91" s="2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32.25" thickBot="1" x14ac:dyDescent="0.3">
      <c r="A92" s="1"/>
      <c r="B92" s="7" t="s">
        <v>21</v>
      </c>
      <c r="C92" s="20"/>
      <c r="D92" s="20"/>
      <c r="E92" s="8" t="s">
        <v>22</v>
      </c>
      <c r="F92" s="23" t="s">
        <v>23</v>
      </c>
      <c r="G92" s="27" t="s">
        <v>24</v>
      </c>
      <c r="H92" s="2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6.5" thickBot="1" x14ac:dyDescent="0.3">
      <c r="A93" s="1"/>
      <c r="B93" s="9" t="s">
        <v>25</v>
      </c>
      <c r="C93" s="21"/>
      <c r="D93" s="21"/>
      <c r="E93" s="10"/>
      <c r="F93" s="24"/>
      <c r="G93" s="57"/>
      <c r="H93" s="5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32.25" thickBot="1" x14ac:dyDescent="0.3">
      <c r="A94" s="1"/>
      <c r="B94" s="9" t="s">
        <v>26</v>
      </c>
      <c r="C94" s="21"/>
      <c r="D94" s="21"/>
      <c r="E94" s="11"/>
      <c r="F94" s="25"/>
      <c r="G94" s="59"/>
      <c r="H94" s="6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6.5" thickBot="1" x14ac:dyDescent="0.3">
      <c r="A95" s="1"/>
      <c r="B95" s="9" t="s">
        <v>27</v>
      </c>
      <c r="C95" s="21"/>
      <c r="D95" s="21"/>
      <c r="E95" s="12"/>
      <c r="F95" s="26"/>
      <c r="G95" s="61"/>
      <c r="H95" s="6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x14ac:dyDescent="0.25">
      <c r="A96" s="1"/>
      <c r="B96" s="63" t="s">
        <v>28</v>
      </c>
      <c r="C96" s="18"/>
      <c r="D96" s="18"/>
      <c r="E96" s="66"/>
      <c r="F96" s="69"/>
      <c r="G96" s="72"/>
      <c r="H96" s="7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x14ac:dyDescent="0.25">
      <c r="A97" s="1"/>
      <c r="B97" s="64"/>
      <c r="C97" s="19"/>
      <c r="D97" s="19"/>
      <c r="E97" s="67"/>
      <c r="F97" s="70"/>
      <c r="G97" s="72"/>
      <c r="H97" s="7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6.5" thickBot="1" x14ac:dyDescent="0.3">
      <c r="A98" s="1"/>
      <c r="B98" s="65"/>
      <c r="C98" s="9"/>
      <c r="D98" s="9"/>
      <c r="E98" s="68"/>
      <c r="F98" s="71"/>
      <c r="G98" s="74"/>
      <c r="H98" s="7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</sheetData>
  <autoFilter ref="A10:AO88" xr:uid="{0389DD10-0AC2-461A-BA2F-54E478B0327A}">
    <filterColumn colId="2">
      <filters>
        <filter val="Sticker - 3.1 - DV000"/>
      </filters>
    </filterColumn>
  </autoFilter>
  <mergeCells count="24">
    <mergeCell ref="G93:H93"/>
    <mergeCell ref="G94:H94"/>
    <mergeCell ref="G95:H95"/>
    <mergeCell ref="B96:B98"/>
    <mergeCell ref="E96:E98"/>
    <mergeCell ref="F96:F98"/>
    <mergeCell ref="G96:H98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L11:AL90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4F52-71B8-412F-98FA-15C955F1BADB}">
  <sheetPr filterMode="1"/>
  <dimension ref="A1:AN98"/>
  <sheetViews>
    <sheetView tabSelected="1" workbookViewId="0">
      <pane xSplit="5" ySplit="10" topLeftCell="I11" activePane="bottomRight" state="frozen"/>
      <selection pane="topRight" activeCell="F1" sqref="F1"/>
      <selection pane="bottomLeft" activeCell="A11" sqref="A11"/>
      <selection pane="bottomRight" activeCell="M13" sqref="M13"/>
    </sheetView>
  </sheetViews>
  <sheetFormatPr defaultRowHeight="15" x14ac:dyDescent="0.25"/>
  <cols>
    <col min="2" max="2" width="12.28515625" bestFit="1" customWidth="1"/>
    <col min="3" max="3" width="37.28515625" bestFit="1" customWidth="1"/>
    <col min="7" max="36" width="10.140625" bestFit="1" customWidth="1"/>
  </cols>
  <sheetData>
    <row r="1" spans="1:40" ht="22.5" x14ac:dyDescent="0.25">
      <c r="E1" s="40" t="s">
        <v>29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40" x14ac:dyDescent="0.25">
      <c r="E2" s="41" t="s">
        <v>30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</row>
    <row r="3" spans="1:40" ht="15.75" x14ac:dyDescent="0.25">
      <c r="E3" s="44" t="s">
        <v>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40" x14ac:dyDescent="0.25">
      <c r="E4" s="45" t="s">
        <v>1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1:40" ht="15.75" x14ac:dyDescent="0.25">
      <c r="E5" s="46" t="s">
        <v>2</v>
      </c>
      <c r="F5" s="46"/>
      <c r="G5" s="46"/>
      <c r="H5" s="47" t="s">
        <v>3</v>
      </c>
      <c r="I5" s="48"/>
      <c r="J5" s="49"/>
      <c r="K5" s="50" t="s">
        <v>4</v>
      </c>
      <c r="L5" s="50"/>
      <c r="M5" s="13">
        <v>0</v>
      </c>
      <c r="N5" s="51" t="s">
        <v>5</v>
      </c>
      <c r="O5" s="51"/>
      <c r="P5" s="52"/>
      <c r="Q5" s="53"/>
    </row>
    <row r="6" spans="1:40" ht="15.75" x14ac:dyDescent="0.25">
      <c r="E6" s="46" t="s">
        <v>6</v>
      </c>
      <c r="F6" s="46"/>
      <c r="G6" s="46"/>
      <c r="H6" s="54" t="s">
        <v>7</v>
      </c>
      <c r="I6" s="54"/>
      <c r="J6" s="54"/>
      <c r="K6" s="50" t="s">
        <v>8</v>
      </c>
      <c r="L6" s="50"/>
      <c r="M6" s="55" t="s">
        <v>9</v>
      </c>
      <c r="N6" s="55"/>
      <c r="O6" s="55"/>
      <c r="P6" s="55"/>
      <c r="Q6" s="55"/>
    </row>
    <row r="7" spans="1:40" ht="15.75" x14ac:dyDescent="0.25">
      <c r="E7" s="50" t="s">
        <v>10</v>
      </c>
      <c r="F7" s="50"/>
      <c r="G7" s="50"/>
      <c r="H7" s="56"/>
      <c r="I7" s="56"/>
      <c r="J7" s="56"/>
      <c r="K7" s="50" t="s">
        <v>11</v>
      </c>
      <c r="L7" s="50"/>
      <c r="M7" s="55"/>
      <c r="N7" s="55"/>
      <c r="O7" s="55"/>
      <c r="P7" s="55"/>
      <c r="Q7" s="55"/>
    </row>
    <row r="9" spans="1:40" x14ac:dyDescent="0.25">
      <c r="A9" t="s">
        <v>12</v>
      </c>
    </row>
    <row r="10" spans="1:40" ht="26.25" x14ac:dyDescent="0.25">
      <c r="A10" s="29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4" t="s">
        <v>183</v>
      </c>
      <c r="G10" s="15">
        <v>46113</v>
      </c>
      <c r="H10" s="15">
        <v>46114</v>
      </c>
      <c r="I10" s="15">
        <v>46115</v>
      </c>
      <c r="J10" s="15">
        <v>46116</v>
      </c>
      <c r="K10" s="15">
        <v>46117</v>
      </c>
      <c r="L10" s="15">
        <v>46118</v>
      </c>
      <c r="M10" s="15">
        <v>46119</v>
      </c>
      <c r="N10" s="15">
        <v>46120</v>
      </c>
      <c r="O10" s="15">
        <v>46121</v>
      </c>
      <c r="P10" s="15">
        <v>46122</v>
      </c>
      <c r="Q10" s="15">
        <v>46123</v>
      </c>
      <c r="R10" s="15">
        <v>46124</v>
      </c>
      <c r="S10" s="15">
        <v>46125</v>
      </c>
      <c r="T10" s="15">
        <v>46126</v>
      </c>
      <c r="U10" s="15">
        <v>46127</v>
      </c>
      <c r="V10" s="15">
        <v>46128</v>
      </c>
      <c r="W10" s="15">
        <v>46129</v>
      </c>
      <c r="X10" s="15">
        <v>46130</v>
      </c>
      <c r="Y10" s="15">
        <v>46131</v>
      </c>
      <c r="Z10" s="15">
        <v>46132</v>
      </c>
      <c r="AA10" s="15">
        <v>46133</v>
      </c>
      <c r="AB10" s="15">
        <v>46134</v>
      </c>
      <c r="AC10" s="15">
        <v>46135</v>
      </c>
      <c r="AD10" s="15">
        <v>46136</v>
      </c>
      <c r="AE10" s="15">
        <v>46137</v>
      </c>
      <c r="AF10" s="15">
        <v>46138</v>
      </c>
      <c r="AG10" s="15">
        <v>46139</v>
      </c>
      <c r="AH10" s="15">
        <v>46140</v>
      </c>
      <c r="AI10" s="15">
        <v>46141</v>
      </c>
      <c r="AJ10" s="15">
        <v>46142</v>
      </c>
      <c r="AK10" s="14" t="s">
        <v>184</v>
      </c>
      <c r="AL10" s="3" t="s">
        <v>18</v>
      </c>
      <c r="AM10" s="3" t="s">
        <v>19</v>
      </c>
      <c r="AN10" s="3" t="s">
        <v>20</v>
      </c>
    </row>
    <row r="11" spans="1:40" x14ac:dyDescent="0.25">
      <c r="A11" s="13" t="s">
        <v>180</v>
      </c>
      <c r="B11" s="22" t="s">
        <v>31</v>
      </c>
      <c r="C11" s="22" t="s">
        <v>32</v>
      </c>
      <c r="D11" s="13"/>
      <c r="E11" s="13"/>
      <c r="F11" s="37">
        <f>'Feb 2026'!AI11</f>
        <v>23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6">
        <f t="shared" ref="AK11:AK74" si="0">F11+SUM(G11:AH11)</f>
        <v>23</v>
      </c>
    </row>
    <row r="12" spans="1:40" x14ac:dyDescent="0.25">
      <c r="A12" s="13" t="s">
        <v>180</v>
      </c>
      <c r="B12" s="22" t="s">
        <v>33</v>
      </c>
      <c r="C12" s="22" t="s">
        <v>34</v>
      </c>
      <c r="D12" s="13"/>
      <c r="E12" s="13"/>
      <c r="F12" s="37">
        <f>'Feb 2026'!AI12</f>
        <v>498</v>
      </c>
      <c r="G12" s="30"/>
      <c r="H12" s="30"/>
      <c r="I12" s="30"/>
      <c r="J12" s="30"/>
      <c r="K12" s="30"/>
      <c r="L12" s="30">
        <v>-24</v>
      </c>
      <c r="M12" s="30">
        <v>-2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6">
        <f t="shared" si="0"/>
        <v>472</v>
      </c>
    </row>
    <row r="13" spans="1:40" x14ac:dyDescent="0.25">
      <c r="A13" s="13" t="s">
        <v>180</v>
      </c>
      <c r="B13" s="22" t="s">
        <v>35</v>
      </c>
      <c r="C13" s="22" t="s">
        <v>36</v>
      </c>
      <c r="D13" s="13"/>
      <c r="E13" s="13"/>
      <c r="F13" s="37">
        <f>'Feb 2026'!AI13</f>
        <v>25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6">
        <f t="shared" si="0"/>
        <v>25</v>
      </c>
    </row>
    <row r="14" spans="1:40" x14ac:dyDescent="0.25">
      <c r="A14" s="13" t="s">
        <v>181</v>
      </c>
      <c r="B14" s="22" t="s">
        <v>37</v>
      </c>
      <c r="C14" s="22" t="s">
        <v>38</v>
      </c>
      <c r="D14" s="13"/>
      <c r="E14" s="13"/>
      <c r="F14" s="37">
        <f>'Feb 2026'!AI14</f>
        <v>470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6">
        <f t="shared" si="0"/>
        <v>470</v>
      </c>
    </row>
    <row r="15" spans="1:40" x14ac:dyDescent="0.25">
      <c r="A15" s="13" t="s">
        <v>180</v>
      </c>
      <c r="B15" s="22" t="s">
        <v>39</v>
      </c>
      <c r="C15" s="22" t="s">
        <v>40</v>
      </c>
      <c r="D15" s="13"/>
      <c r="E15" s="13"/>
      <c r="F15" s="37">
        <f>'Feb 2026'!AI15</f>
        <v>78</v>
      </c>
      <c r="G15" s="30"/>
      <c r="H15" s="30"/>
      <c r="I15" s="30"/>
      <c r="J15" s="32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6">
        <f t="shared" si="0"/>
        <v>78</v>
      </c>
    </row>
    <row r="16" spans="1:40" x14ac:dyDescent="0.25">
      <c r="A16" s="13" t="s">
        <v>180</v>
      </c>
      <c r="B16" s="22" t="s">
        <v>41</v>
      </c>
      <c r="C16" s="22" t="s">
        <v>42</v>
      </c>
      <c r="D16" s="13"/>
      <c r="E16" s="13"/>
      <c r="F16" s="37">
        <f>'Feb 2026'!AI16</f>
        <v>10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6">
        <f t="shared" si="0"/>
        <v>10</v>
      </c>
    </row>
    <row r="17" spans="1:37" x14ac:dyDescent="0.25">
      <c r="A17" s="13" t="s">
        <v>180</v>
      </c>
      <c r="B17" s="22" t="s">
        <v>43</v>
      </c>
      <c r="C17" s="22" t="s">
        <v>44</v>
      </c>
      <c r="D17" s="13"/>
      <c r="E17" s="13"/>
      <c r="F17" s="37">
        <f>'Feb 2026'!AI17</f>
        <v>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6">
        <f t="shared" si="0"/>
        <v>8</v>
      </c>
    </row>
    <row r="18" spans="1:37" x14ac:dyDescent="0.25">
      <c r="A18" s="13" t="s">
        <v>180</v>
      </c>
      <c r="B18" s="22" t="s">
        <v>45</v>
      </c>
      <c r="C18" s="22" t="s">
        <v>46</v>
      </c>
      <c r="D18" s="13"/>
      <c r="E18" s="13"/>
      <c r="F18" s="37">
        <f>'Feb 2026'!AI18</f>
        <v>9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6">
        <f t="shared" si="0"/>
        <v>9</v>
      </c>
    </row>
    <row r="19" spans="1:37" x14ac:dyDescent="0.25">
      <c r="A19" s="13"/>
      <c r="B19" s="22" t="s">
        <v>47</v>
      </c>
      <c r="C19" s="22" t="s">
        <v>48</v>
      </c>
      <c r="D19" s="13"/>
      <c r="E19" s="13"/>
      <c r="F19" s="37">
        <f>'Feb 2026'!AI19</f>
        <v>0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6">
        <f t="shared" si="0"/>
        <v>0</v>
      </c>
    </row>
    <row r="20" spans="1:37" x14ac:dyDescent="0.25">
      <c r="A20" s="13" t="s">
        <v>181</v>
      </c>
      <c r="B20" s="22" t="s">
        <v>49</v>
      </c>
      <c r="C20" s="22" t="s">
        <v>50</v>
      </c>
      <c r="D20" s="13"/>
      <c r="E20" s="13"/>
      <c r="F20" s="37">
        <f>'Feb 2026'!AI20</f>
        <v>239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6">
        <f t="shared" si="0"/>
        <v>239</v>
      </c>
    </row>
    <row r="21" spans="1:37" x14ac:dyDescent="0.25">
      <c r="A21" s="13" t="s">
        <v>180</v>
      </c>
      <c r="B21" s="22" t="s">
        <v>51</v>
      </c>
      <c r="C21" s="22" t="s">
        <v>52</v>
      </c>
      <c r="D21" s="13"/>
      <c r="E21" s="13"/>
      <c r="F21" s="37">
        <f>'Feb 2026'!AI21</f>
        <v>9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6">
        <f t="shared" si="0"/>
        <v>9</v>
      </c>
    </row>
    <row r="22" spans="1:37" x14ac:dyDescent="0.25">
      <c r="A22" s="13" t="s">
        <v>181</v>
      </c>
      <c r="B22" s="22" t="s">
        <v>53</v>
      </c>
      <c r="C22" s="22" t="s">
        <v>54</v>
      </c>
      <c r="D22" s="13"/>
      <c r="E22" s="13"/>
      <c r="F22" s="37">
        <f>'Feb 2026'!AI22</f>
        <v>260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6">
        <f t="shared" si="0"/>
        <v>260</v>
      </c>
    </row>
    <row r="23" spans="1:37" x14ac:dyDescent="0.25">
      <c r="A23" s="13" t="s">
        <v>180</v>
      </c>
      <c r="B23" s="22" t="s">
        <v>55</v>
      </c>
      <c r="C23" s="22" t="s">
        <v>56</v>
      </c>
      <c r="D23" s="13"/>
      <c r="E23" s="13"/>
      <c r="F23" s="37">
        <f>'Feb 2026'!AI23</f>
        <v>77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6">
        <f t="shared" si="0"/>
        <v>77</v>
      </c>
    </row>
    <row r="24" spans="1:37" x14ac:dyDescent="0.25">
      <c r="A24" s="13" t="s">
        <v>180</v>
      </c>
      <c r="B24" s="22" t="s">
        <v>57</v>
      </c>
      <c r="C24" s="22" t="s">
        <v>58</v>
      </c>
      <c r="D24" s="13"/>
      <c r="E24" s="13"/>
      <c r="F24" s="37">
        <f>'Feb 2026'!AI24</f>
        <v>33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6">
        <f t="shared" si="0"/>
        <v>33</v>
      </c>
    </row>
    <row r="25" spans="1:37" hidden="1" x14ac:dyDescent="0.25">
      <c r="A25" s="13" t="s">
        <v>180</v>
      </c>
      <c r="B25" s="22" t="s">
        <v>59</v>
      </c>
      <c r="C25" s="22" t="s">
        <v>60</v>
      </c>
      <c r="D25" s="13"/>
      <c r="E25" s="13"/>
      <c r="F25" s="37">
        <f>'Feb 2026'!AI25</f>
        <v>477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6">
        <f t="shared" si="0"/>
        <v>477</v>
      </c>
    </row>
    <row r="26" spans="1:37" hidden="1" x14ac:dyDescent="0.25">
      <c r="A26" s="13" t="s">
        <v>180</v>
      </c>
      <c r="B26" s="22" t="s">
        <v>61</v>
      </c>
      <c r="C26" s="22" t="s">
        <v>62</v>
      </c>
      <c r="D26" s="13"/>
      <c r="E26" s="13"/>
      <c r="F26" s="37">
        <f>'Feb 2026'!AI26</f>
        <v>393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6">
        <f t="shared" si="0"/>
        <v>393</v>
      </c>
    </row>
    <row r="27" spans="1:37" hidden="1" x14ac:dyDescent="0.25">
      <c r="A27" s="13" t="s">
        <v>182</v>
      </c>
      <c r="B27" s="22" t="s">
        <v>63</v>
      </c>
      <c r="C27" s="22" t="s">
        <v>64</v>
      </c>
      <c r="D27" s="13"/>
      <c r="E27" s="13"/>
      <c r="F27" s="37">
        <f>'Feb 2026'!AI27</f>
        <v>66</v>
      </c>
      <c r="G27" s="30"/>
      <c r="H27" s="30"/>
      <c r="I27" s="32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6">
        <f t="shared" si="0"/>
        <v>66</v>
      </c>
    </row>
    <row r="28" spans="1:37" hidden="1" x14ac:dyDescent="0.25">
      <c r="A28" s="13" t="s">
        <v>182</v>
      </c>
      <c r="B28" s="22" t="s">
        <v>65</v>
      </c>
      <c r="C28" s="22" t="s">
        <v>66</v>
      </c>
      <c r="D28" s="13"/>
      <c r="E28" s="13"/>
      <c r="F28" s="37">
        <f>'Feb 2026'!AI28</f>
        <v>9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6">
        <f t="shared" si="0"/>
        <v>9</v>
      </c>
    </row>
    <row r="29" spans="1:37" hidden="1" x14ac:dyDescent="0.25">
      <c r="A29" s="13" t="s">
        <v>180</v>
      </c>
      <c r="B29" s="22" t="s">
        <v>67</v>
      </c>
      <c r="C29" s="22" t="s">
        <v>68</v>
      </c>
      <c r="D29" s="13"/>
      <c r="E29" s="13"/>
      <c r="F29" s="37">
        <f>'Feb 2026'!AI29</f>
        <v>8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6">
        <f t="shared" si="0"/>
        <v>8</v>
      </c>
    </row>
    <row r="30" spans="1:37" hidden="1" x14ac:dyDescent="0.25">
      <c r="A30" s="13" t="s">
        <v>182</v>
      </c>
      <c r="B30" s="22" t="s">
        <v>69</v>
      </c>
      <c r="C30" s="22" t="s">
        <v>70</v>
      </c>
      <c r="D30" s="13"/>
      <c r="E30" s="13"/>
      <c r="F30" s="37">
        <f>'Feb 2026'!AI30</f>
        <v>9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6">
        <f t="shared" si="0"/>
        <v>9</v>
      </c>
    </row>
    <row r="31" spans="1:37" hidden="1" x14ac:dyDescent="0.25">
      <c r="A31" s="13" t="s">
        <v>182</v>
      </c>
      <c r="B31" s="22" t="s">
        <v>71</v>
      </c>
      <c r="C31" s="22" t="s">
        <v>72</v>
      </c>
      <c r="D31" s="13"/>
      <c r="E31" s="13"/>
      <c r="F31" s="37">
        <f>'Feb 2026'!AI31</f>
        <v>9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6">
        <f t="shared" si="0"/>
        <v>9</v>
      </c>
    </row>
    <row r="32" spans="1:37" hidden="1" x14ac:dyDescent="0.25">
      <c r="A32" s="13" t="s">
        <v>182</v>
      </c>
      <c r="B32" s="22" t="s">
        <v>73</v>
      </c>
      <c r="C32" s="22" t="s">
        <v>74</v>
      </c>
      <c r="D32" s="13"/>
      <c r="E32" s="13"/>
      <c r="F32" s="37">
        <f>'Feb 2026'!AI32</f>
        <v>12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6">
        <f t="shared" si="0"/>
        <v>12</v>
      </c>
    </row>
    <row r="33" spans="1:37" hidden="1" x14ac:dyDescent="0.25">
      <c r="A33" s="13" t="s">
        <v>182</v>
      </c>
      <c r="B33" s="22" t="s">
        <v>75</v>
      </c>
      <c r="C33" s="22" t="s">
        <v>76</v>
      </c>
      <c r="D33" s="13"/>
      <c r="E33" s="13"/>
      <c r="F33" s="37">
        <f>'Feb 2026'!AI33</f>
        <v>2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6">
        <f t="shared" si="0"/>
        <v>2</v>
      </c>
    </row>
    <row r="34" spans="1:37" hidden="1" x14ac:dyDescent="0.25">
      <c r="A34" s="13" t="s">
        <v>180</v>
      </c>
      <c r="B34" s="22" t="s">
        <v>77</v>
      </c>
      <c r="C34" s="22" t="s">
        <v>78</v>
      </c>
      <c r="D34" s="13"/>
      <c r="E34" s="13"/>
      <c r="F34" s="37">
        <f>'Feb 2026'!AI34</f>
        <v>410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6">
        <f t="shared" si="0"/>
        <v>410</v>
      </c>
    </row>
    <row r="35" spans="1:37" hidden="1" x14ac:dyDescent="0.25">
      <c r="A35" s="13" t="s">
        <v>182</v>
      </c>
      <c r="B35" s="22" t="s">
        <v>79</v>
      </c>
      <c r="C35" s="22" t="s">
        <v>80</v>
      </c>
      <c r="D35" s="13"/>
      <c r="E35" s="13"/>
      <c r="F35" s="37">
        <f>'Feb 2026'!AI35</f>
        <v>7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6">
        <f t="shared" si="0"/>
        <v>7</v>
      </c>
    </row>
    <row r="36" spans="1:37" hidden="1" x14ac:dyDescent="0.25">
      <c r="A36" s="13" t="s">
        <v>182</v>
      </c>
      <c r="B36" s="22" t="s">
        <v>81</v>
      </c>
      <c r="C36" s="22" t="s">
        <v>82</v>
      </c>
      <c r="D36" s="13"/>
      <c r="E36" s="13"/>
      <c r="F36" s="37">
        <f>'Feb 2026'!AI36</f>
        <v>12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6">
        <f t="shared" si="0"/>
        <v>12</v>
      </c>
    </row>
    <row r="37" spans="1:37" hidden="1" x14ac:dyDescent="0.25">
      <c r="A37" s="13" t="s">
        <v>182</v>
      </c>
      <c r="B37" s="22" t="s">
        <v>83</v>
      </c>
      <c r="C37" s="22" t="s">
        <v>84</v>
      </c>
      <c r="D37" s="13"/>
      <c r="E37" s="13"/>
      <c r="F37" s="37">
        <f>'Feb 2026'!AI37</f>
        <v>9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6">
        <f t="shared" si="0"/>
        <v>9</v>
      </c>
    </row>
    <row r="38" spans="1:37" hidden="1" x14ac:dyDescent="0.25">
      <c r="A38" s="13" t="s">
        <v>182</v>
      </c>
      <c r="B38" s="22" t="s">
        <v>85</v>
      </c>
      <c r="C38" s="22" t="s">
        <v>86</v>
      </c>
      <c r="D38" s="13"/>
      <c r="E38" s="13"/>
      <c r="F38" s="37">
        <f>'Feb 2026'!AI38</f>
        <v>9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6">
        <f t="shared" si="0"/>
        <v>9</v>
      </c>
    </row>
    <row r="39" spans="1:37" hidden="1" x14ac:dyDescent="0.25">
      <c r="A39" s="13" t="s">
        <v>182</v>
      </c>
      <c r="B39" s="22" t="s">
        <v>87</v>
      </c>
      <c r="C39" s="22" t="s">
        <v>88</v>
      </c>
      <c r="D39" s="13"/>
      <c r="E39" s="13"/>
      <c r="F39" s="37">
        <f>'Feb 2026'!AI39</f>
        <v>9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6">
        <f t="shared" si="0"/>
        <v>9</v>
      </c>
    </row>
    <row r="40" spans="1:37" hidden="1" x14ac:dyDescent="0.25">
      <c r="A40" s="13" t="s">
        <v>182</v>
      </c>
      <c r="B40" s="22" t="s">
        <v>89</v>
      </c>
      <c r="C40" s="22" t="s">
        <v>90</v>
      </c>
      <c r="D40" s="13"/>
      <c r="E40" s="13"/>
      <c r="F40" s="37">
        <f>'Feb 2026'!AI40</f>
        <v>83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6">
        <f t="shared" si="0"/>
        <v>83</v>
      </c>
    </row>
    <row r="41" spans="1:37" hidden="1" x14ac:dyDescent="0.25">
      <c r="A41" s="13" t="s">
        <v>182</v>
      </c>
      <c r="B41" s="22" t="s">
        <v>91</v>
      </c>
      <c r="C41" s="22" t="s">
        <v>92</v>
      </c>
      <c r="D41" s="13"/>
      <c r="E41" s="13"/>
      <c r="F41" s="37">
        <f>'Feb 2026'!AI41</f>
        <v>9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6">
        <f t="shared" si="0"/>
        <v>9</v>
      </c>
    </row>
    <row r="42" spans="1:37" hidden="1" x14ac:dyDescent="0.25">
      <c r="A42" s="13" t="s">
        <v>182</v>
      </c>
      <c r="B42" s="22" t="s">
        <v>93</v>
      </c>
      <c r="C42" s="22" t="s">
        <v>94</v>
      </c>
      <c r="D42" s="13"/>
      <c r="E42" s="13"/>
      <c r="F42" s="37">
        <f>'Feb 2026'!AI42</f>
        <v>100</v>
      </c>
      <c r="G42" s="30"/>
      <c r="H42" s="30"/>
      <c r="I42" s="30"/>
      <c r="J42" s="30"/>
      <c r="K42" s="30"/>
      <c r="L42" s="30"/>
      <c r="M42" s="30"/>
      <c r="N42" s="30">
        <v>-79</v>
      </c>
      <c r="O42" s="30"/>
      <c r="P42" s="30"/>
      <c r="Q42" s="30"/>
      <c r="R42" s="30"/>
      <c r="S42" s="30">
        <v>-87</v>
      </c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6">
        <f t="shared" si="0"/>
        <v>-66</v>
      </c>
    </row>
    <row r="43" spans="1:37" hidden="1" x14ac:dyDescent="0.25">
      <c r="A43" s="13" t="s">
        <v>182</v>
      </c>
      <c r="B43" s="22" t="s">
        <v>95</v>
      </c>
      <c r="C43" s="22" t="s">
        <v>96</v>
      </c>
      <c r="D43" s="13"/>
      <c r="E43" s="13"/>
      <c r="F43" s="37">
        <f>'Feb 2026'!AI43</f>
        <v>200</v>
      </c>
      <c r="G43" s="30"/>
      <c r="H43" s="30"/>
      <c r="I43" s="30"/>
      <c r="J43" s="30"/>
      <c r="K43" s="30"/>
      <c r="L43" s="30">
        <v>-2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6">
        <f t="shared" si="0"/>
        <v>198</v>
      </c>
    </row>
    <row r="44" spans="1:37" hidden="1" x14ac:dyDescent="0.25">
      <c r="A44" s="13" t="s">
        <v>182</v>
      </c>
      <c r="B44" s="22" t="s">
        <v>97</v>
      </c>
      <c r="C44" s="22" t="s">
        <v>98</v>
      </c>
      <c r="D44" s="13"/>
      <c r="E44" s="13"/>
      <c r="F44" s="37">
        <f>'Feb 2026'!AI44</f>
        <v>63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6">
        <f t="shared" si="0"/>
        <v>63</v>
      </c>
    </row>
    <row r="45" spans="1:37" hidden="1" x14ac:dyDescent="0.25">
      <c r="A45" s="13" t="s">
        <v>182</v>
      </c>
      <c r="B45" s="22"/>
      <c r="C45" s="22" t="s">
        <v>99</v>
      </c>
      <c r="D45" s="13"/>
      <c r="E45" s="13"/>
      <c r="F45" s="37">
        <f>'Feb 2026'!AI45</f>
        <v>39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6">
        <f t="shared" si="0"/>
        <v>39</v>
      </c>
    </row>
    <row r="46" spans="1:37" hidden="1" x14ac:dyDescent="0.25">
      <c r="A46" s="13" t="s">
        <v>182</v>
      </c>
      <c r="B46" s="22" t="s">
        <v>100</v>
      </c>
      <c r="C46" s="22" t="s">
        <v>101</v>
      </c>
      <c r="D46" s="13"/>
      <c r="E46" s="13"/>
      <c r="F46" s="37">
        <f>'Feb 2026'!AI46</f>
        <v>66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6">
        <f t="shared" si="0"/>
        <v>66</v>
      </c>
    </row>
    <row r="47" spans="1:37" hidden="1" x14ac:dyDescent="0.25">
      <c r="A47" s="13" t="s">
        <v>182</v>
      </c>
      <c r="B47" s="22" t="s">
        <v>102</v>
      </c>
      <c r="C47" s="22" t="s">
        <v>103</v>
      </c>
      <c r="D47" s="13"/>
      <c r="E47" s="13"/>
      <c r="F47" s="37">
        <f>'Feb 2026'!AI47</f>
        <v>15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6">
        <f t="shared" si="0"/>
        <v>15</v>
      </c>
    </row>
    <row r="48" spans="1:37" hidden="1" x14ac:dyDescent="0.25">
      <c r="A48" s="13" t="s">
        <v>182</v>
      </c>
      <c r="B48" s="22" t="s">
        <v>104</v>
      </c>
      <c r="C48" s="22" t="s">
        <v>105</v>
      </c>
      <c r="D48" s="13"/>
      <c r="E48" s="13"/>
      <c r="F48" s="37">
        <f>'Feb 2026'!AI48</f>
        <v>41</v>
      </c>
      <c r="G48" s="30"/>
      <c r="H48" s="30"/>
      <c r="I48" s="30"/>
      <c r="J48" s="30"/>
      <c r="K48" s="30"/>
      <c r="L48" s="30"/>
      <c r="M48" s="30"/>
      <c r="N48" s="30">
        <v>-12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6">
        <f t="shared" si="0"/>
        <v>29</v>
      </c>
    </row>
    <row r="49" spans="1:37" hidden="1" x14ac:dyDescent="0.25">
      <c r="A49" s="13"/>
      <c r="B49" s="22" t="s">
        <v>106</v>
      </c>
      <c r="C49" s="22" t="s">
        <v>107</v>
      </c>
      <c r="D49" s="13"/>
      <c r="E49" s="13"/>
      <c r="F49" s="37">
        <f>'Feb 2026'!AI49</f>
        <v>0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6">
        <f t="shared" si="0"/>
        <v>0</v>
      </c>
    </row>
    <row r="50" spans="1:37" hidden="1" x14ac:dyDescent="0.25">
      <c r="A50" s="13" t="s">
        <v>182</v>
      </c>
      <c r="B50" s="22" t="s">
        <v>108</v>
      </c>
      <c r="C50" s="22" t="s">
        <v>109</v>
      </c>
      <c r="D50" s="13"/>
      <c r="E50" s="13"/>
      <c r="F50" s="37">
        <f>'Feb 2026'!AI50</f>
        <v>56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6">
        <f t="shared" si="0"/>
        <v>56</v>
      </c>
    </row>
    <row r="51" spans="1:37" hidden="1" x14ac:dyDescent="0.25">
      <c r="A51" s="13"/>
      <c r="B51" s="22" t="s">
        <v>110</v>
      </c>
      <c r="C51" s="22" t="s">
        <v>111</v>
      </c>
      <c r="D51" s="13"/>
      <c r="E51" s="13"/>
      <c r="F51" s="37">
        <f>'Feb 2026'!AI51</f>
        <v>0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6">
        <f t="shared" si="0"/>
        <v>0</v>
      </c>
    </row>
    <row r="52" spans="1:37" hidden="1" x14ac:dyDescent="0.25">
      <c r="A52" s="13"/>
      <c r="B52" s="22" t="s">
        <v>112</v>
      </c>
      <c r="C52" s="22" t="s">
        <v>113</v>
      </c>
      <c r="D52" s="13"/>
      <c r="E52" s="13"/>
      <c r="F52" s="37">
        <f>'Feb 2026'!AI52</f>
        <v>0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6">
        <f t="shared" si="0"/>
        <v>0</v>
      </c>
    </row>
    <row r="53" spans="1:37" hidden="1" x14ac:dyDescent="0.25">
      <c r="A53" s="13" t="s">
        <v>182</v>
      </c>
      <c r="B53" s="22" t="s">
        <v>114</v>
      </c>
      <c r="C53" s="22" t="s">
        <v>115</v>
      </c>
      <c r="D53" s="13"/>
      <c r="E53" s="13"/>
      <c r="F53" s="37">
        <f>'Feb 2026'!AI53</f>
        <v>0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6">
        <f t="shared" si="0"/>
        <v>0</v>
      </c>
    </row>
    <row r="54" spans="1:37" hidden="1" x14ac:dyDescent="0.25">
      <c r="A54" s="13" t="s">
        <v>182</v>
      </c>
      <c r="B54" s="22" t="s">
        <v>116</v>
      </c>
      <c r="C54" s="22" t="s">
        <v>117</v>
      </c>
      <c r="D54" s="13"/>
      <c r="E54" s="13"/>
      <c r="F54" s="37">
        <f>'Feb 2026'!AI54</f>
        <v>107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6">
        <f t="shared" si="0"/>
        <v>107</v>
      </c>
    </row>
    <row r="55" spans="1:37" hidden="1" x14ac:dyDescent="0.25">
      <c r="A55" s="13"/>
      <c r="B55" s="22" t="s">
        <v>118</v>
      </c>
      <c r="C55" s="22" t="s">
        <v>119</v>
      </c>
      <c r="D55" s="13"/>
      <c r="E55" s="13"/>
      <c r="F55" s="37">
        <f>'Feb 2026'!AI55</f>
        <v>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6">
        <f t="shared" si="0"/>
        <v>0</v>
      </c>
    </row>
    <row r="56" spans="1:37" hidden="1" x14ac:dyDescent="0.25">
      <c r="A56" s="13"/>
      <c r="B56" s="22" t="s">
        <v>120</v>
      </c>
      <c r="C56" s="22" t="s">
        <v>121</v>
      </c>
      <c r="D56" s="13"/>
      <c r="E56" s="13"/>
      <c r="F56" s="37">
        <f>'Feb 2026'!AI56</f>
        <v>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6">
        <f t="shared" si="0"/>
        <v>0</v>
      </c>
    </row>
    <row r="57" spans="1:37" hidden="1" x14ac:dyDescent="0.25">
      <c r="A57" s="13" t="s">
        <v>182</v>
      </c>
      <c r="B57" s="22" t="s">
        <v>122</v>
      </c>
      <c r="C57" s="22" t="s">
        <v>123</v>
      </c>
      <c r="D57" s="13"/>
      <c r="E57" s="13"/>
      <c r="F57" s="37">
        <f>'Feb 2026'!AI57</f>
        <v>59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6">
        <f t="shared" si="0"/>
        <v>59</v>
      </c>
    </row>
    <row r="58" spans="1:37" hidden="1" x14ac:dyDescent="0.25">
      <c r="A58" s="13"/>
      <c r="B58" s="22" t="s">
        <v>124</v>
      </c>
      <c r="C58" s="22" t="s">
        <v>125</v>
      </c>
      <c r="D58" s="13"/>
      <c r="E58" s="13"/>
      <c r="F58" s="37">
        <f>'Feb 2026'!AI58</f>
        <v>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6">
        <f t="shared" si="0"/>
        <v>0</v>
      </c>
    </row>
    <row r="59" spans="1:37" hidden="1" x14ac:dyDescent="0.25">
      <c r="A59" s="13"/>
      <c r="B59" s="22" t="s">
        <v>126</v>
      </c>
      <c r="C59" s="22" t="s">
        <v>127</v>
      </c>
      <c r="D59" s="13"/>
      <c r="E59" s="13"/>
      <c r="F59" s="37">
        <f>'Feb 2026'!AI59</f>
        <v>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6">
        <f t="shared" si="0"/>
        <v>0</v>
      </c>
    </row>
    <row r="60" spans="1:37" hidden="1" x14ac:dyDescent="0.25">
      <c r="A60" s="13" t="s">
        <v>182</v>
      </c>
      <c r="B60" s="22" t="s">
        <v>128</v>
      </c>
      <c r="C60" s="22" t="s">
        <v>129</v>
      </c>
      <c r="D60" s="13"/>
      <c r="E60" s="13"/>
      <c r="F60" s="37">
        <f>'Feb 2026'!AI60</f>
        <v>24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6">
        <f t="shared" si="0"/>
        <v>24</v>
      </c>
    </row>
    <row r="61" spans="1:37" hidden="1" x14ac:dyDescent="0.25">
      <c r="A61" s="13" t="s">
        <v>182</v>
      </c>
      <c r="B61" s="22" t="s">
        <v>130</v>
      </c>
      <c r="C61" s="22" t="s">
        <v>131</v>
      </c>
      <c r="D61" s="13"/>
      <c r="E61" s="13"/>
      <c r="F61" s="37">
        <f>'Feb 2026'!AI61</f>
        <v>119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>
        <v>-12</v>
      </c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6">
        <f t="shared" si="0"/>
        <v>107</v>
      </c>
    </row>
    <row r="62" spans="1:37" hidden="1" x14ac:dyDescent="0.25">
      <c r="A62" s="13" t="s">
        <v>182</v>
      </c>
      <c r="B62" s="22" t="s">
        <v>132</v>
      </c>
      <c r="C62" s="22" t="s">
        <v>133</v>
      </c>
      <c r="D62" s="13"/>
      <c r="E62" s="13"/>
      <c r="F62" s="37">
        <f>'Feb 2026'!AI62</f>
        <v>508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6">
        <f t="shared" si="0"/>
        <v>508</v>
      </c>
    </row>
    <row r="63" spans="1:37" hidden="1" x14ac:dyDescent="0.25">
      <c r="A63" s="13"/>
      <c r="B63" s="22" t="s">
        <v>134</v>
      </c>
      <c r="C63" s="22" t="s">
        <v>135</v>
      </c>
      <c r="D63" s="13"/>
      <c r="E63" s="13"/>
      <c r="F63" s="37">
        <f>'Feb 2026'!AI63</f>
        <v>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6">
        <f t="shared" si="0"/>
        <v>0</v>
      </c>
    </row>
    <row r="64" spans="1:37" hidden="1" x14ac:dyDescent="0.25">
      <c r="A64" s="13"/>
      <c r="B64" s="22" t="s">
        <v>136</v>
      </c>
      <c r="C64" s="22" t="s">
        <v>137</v>
      </c>
      <c r="D64" s="13"/>
      <c r="E64" s="13"/>
      <c r="F64" s="37">
        <f>'Feb 2026'!AI64</f>
        <v>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6">
        <f t="shared" si="0"/>
        <v>0</v>
      </c>
    </row>
    <row r="65" spans="1:37" hidden="1" x14ac:dyDescent="0.25">
      <c r="A65" s="13"/>
      <c r="B65" s="22" t="s">
        <v>138</v>
      </c>
      <c r="C65" s="22" t="s">
        <v>139</v>
      </c>
      <c r="D65" s="13"/>
      <c r="E65" s="13"/>
      <c r="F65" s="37">
        <f>'Feb 2026'!AI65</f>
        <v>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6">
        <f t="shared" si="0"/>
        <v>0</v>
      </c>
    </row>
    <row r="66" spans="1:37" hidden="1" x14ac:dyDescent="0.25">
      <c r="A66" s="13" t="s">
        <v>182</v>
      </c>
      <c r="B66" s="22" t="s">
        <v>140</v>
      </c>
      <c r="C66" s="22" t="s">
        <v>141</v>
      </c>
      <c r="D66" s="13"/>
      <c r="E66" s="13"/>
      <c r="F66" s="37">
        <f>'Feb 2026'!AI66</f>
        <v>20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6">
        <f t="shared" si="0"/>
        <v>20</v>
      </c>
    </row>
    <row r="67" spans="1:37" hidden="1" x14ac:dyDescent="0.25">
      <c r="A67" s="13"/>
      <c r="B67" s="22" t="s">
        <v>142</v>
      </c>
      <c r="C67" s="22" t="s">
        <v>143</v>
      </c>
      <c r="D67" s="13"/>
      <c r="E67" s="13"/>
      <c r="F67" s="37">
        <f>'Feb 2026'!AI67</f>
        <v>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6">
        <f t="shared" si="0"/>
        <v>0</v>
      </c>
    </row>
    <row r="68" spans="1:37" hidden="1" x14ac:dyDescent="0.25">
      <c r="A68" s="13" t="s">
        <v>182</v>
      </c>
      <c r="B68" s="22" t="s">
        <v>144</v>
      </c>
      <c r="C68" s="22" t="s">
        <v>145</v>
      </c>
      <c r="D68" s="13"/>
      <c r="E68" s="13"/>
      <c r="F68" s="37">
        <f>'Feb 2026'!AI68</f>
        <v>17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6">
        <f t="shared" si="0"/>
        <v>17</v>
      </c>
    </row>
    <row r="69" spans="1:37" hidden="1" x14ac:dyDescent="0.25">
      <c r="A69" s="13" t="s">
        <v>182</v>
      </c>
      <c r="B69" s="22" t="s">
        <v>146</v>
      </c>
      <c r="C69" s="22" t="s">
        <v>147</v>
      </c>
      <c r="D69" s="13"/>
      <c r="E69" s="13"/>
      <c r="F69" s="37">
        <f>'Feb 2026'!AI69</f>
        <v>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6">
        <f t="shared" si="0"/>
        <v>0</v>
      </c>
    </row>
    <row r="70" spans="1:37" hidden="1" x14ac:dyDescent="0.25">
      <c r="A70" s="13" t="s">
        <v>182</v>
      </c>
      <c r="B70" s="22" t="s">
        <v>148</v>
      </c>
      <c r="C70" s="22" t="s">
        <v>149</v>
      </c>
      <c r="D70" s="13"/>
      <c r="E70" s="13"/>
      <c r="F70" s="37">
        <f>'Feb 2026'!AI70</f>
        <v>54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6">
        <f t="shared" si="0"/>
        <v>54</v>
      </c>
    </row>
    <row r="71" spans="1:37" hidden="1" x14ac:dyDescent="0.25">
      <c r="A71" s="13"/>
      <c r="B71" s="22" t="s">
        <v>150</v>
      </c>
      <c r="C71" s="22" t="s">
        <v>151</v>
      </c>
      <c r="D71" s="13"/>
      <c r="E71" s="13"/>
      <c r="F71" s="37">
        <f>'Feb 2026'!AI71</f>
        <v>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6">
        <f t="shared" si="0"/>
        <v>0</v>
      </c>
    </row>
    <row r="72" spans="1:37" hidden="1" x14ac:dyDescent="0.25">
      <c r="A72" s="13"/>
      <c r="B72" s="22" t="s">
        <v>152</v>
      </c>
      <c r="C72" s="22" t="s">
        <v>153</v>
      </c>
      <c r="D72" s="13"/>
      <c r="E72" s="13"/>
      <c r="F72" s="37">
        <f>'Feb 2026'!AI72</f>
        <v>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6">
        <f t="shared" si="0"/>
        <v>0</v>
      </c>
    </row>
    <row r="73" spans="1:37" hidden="1" x14ac:dyDescent="0.25">
      <c r="A73" s="13"/>
      <c r="B73" s="22" t="s">
        <v>154</v>
      </c>
      <c r="C73" s="22" t="s">
        <v>155</v>
      </c>
      <c r="D73" s="13"/>
      <c r="E73" s="13"/>
      <c r="F73" s="37">
        <f>'Feb 2026'!AI73</f>
        <v>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6">
        <f t="shared" si="0"/>
        <v>0</v>
      </c>
    </row>
    <row r="74" spans="1:37" hidden="1" x14ac:dyDescent="0.25">
      <c r="A74" s="13"/>
      <c r="B74" s="22" t="s">
        <v>156</v>
      </c>
      <c r="C74" s="22" t="s">
        <v>157</v>
      </c>
      <c r="D74" s="13"/>
      <c r="E74" s="13"/>
      <c r="F74" s="37">
        <f>'Feb 2026'!AI74</f>
        <v>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6">
        <f t="shared" si="0"/>
        <v>0</v>
      </c>
    </row>
    <row r="75" spans="1:37" hidden="1" x14ac:dyDescent="0.25">
      <c r="A75" s="13"/>
      <c r="B75" s="22" t="s">
        <v>158</v>
      </c>
      <c r="C75" s="22" t="s">
        <v>159</v>
      </c>
      <c r="D75" s="13"/>
      <c r="E75" s="13"/>
      <c r="F75" s="37">
        <f>'Feb 2026'!AI75</f>
        <v>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6">
        <f t="shared" ref="AK75:AK88" si="1">F75+SUM(G75:AH75)</f>
        <v>0</v>
      </c>
    </row>
    <row r="76" spans="1:37" hidden="1" x14ac:dyDescent="0.25">
      <c r="A76" s="13" t="s">
        <v>182</v>
      </c>
      <c r="B76" s="22" t="s">
        <v>160</v>
      </c>
      <c r="C76" s="22" t="s">
        <v>161</v>
      </c>
      <c r="D76" s="13"/>
      <c r="E76" s="13"/>
      <c r="F76" s="37">
        <f>'Feb 2026'!AI76</f>
        <v>27</v>
      </c>
      <c r="G76" s="30"/>
      <c r="H76" s="30"/>
      <c r="I76" s="30">
        <v>-25</v>
      </c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>
        <v>-13</v>
      </c>
      <c r="U76" s="30">
        <v>-30</v>
      </c>
      <c r="V76" s="30">
        <v>-4</v>
      </c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6">
        <f>F76+SUM(G76:AJ76)</f>
        <v>-45</v>
      </c>
    </row>
    <row r="77" spans="1:37" hidden="1" x14ac:dyDescent="0.25">
      <c r="A77" s="13" t="s">
        <v>182</v>
      </c>
      <c r="B77" s="22" t="s">
        <v>162</v>
      </c>
      <c r="C77" s="22" t="s">
        <v>163</v>
      </c>
      <c r="D77" s="13"/>
      <c r="E77" s="13"/>
      <c r="F77" s="37">
        <f>'Feb 2026'!AI77</f>
        <v>31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6">
        <f t="shared" si="1"/>
        <v>31</v>
      </c>
    </row>
    <row r="78" spans="1:37" hidden="1" x14ac:dyDescent="0.25">
      <c r="A78" s="13" t="s">
        <v>182</v>
      </c>
      <c r="B78" s="22" t="s">
        <v>164</v>
      </c>
      <c r="C78" s="22" t="s">
        <v>165</v>
      </c>
      <c r="D78" s="13"/>
      <c r="E78" s="13"/>
      <c r="F78" s="37">
        <f>'Feb 2026'!AI78</f>
        <v>116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>
        <v>-15</v>
      </c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6">
        <f t="shared" si="1"/>
        <v>101</v>
      </c>
    </row>
    <row r="79" spans="1:37" hidden="1" x14ac:dyDescent="0.25">
      <c r="A79" s="13" t="s">
        <v>182</v>
      </c>
      <c r="B79" s="22" t="s">
        <v>166</v>
      </c>
      <c r="C79" s="22" t="s">
        <v>167</v>
      </c>
      <c r="D79" s="13"/>
      <c r="E79" s="13"/>
      <c r="F79" s="37">
        <f>'Feb 2026'!AI79</f>
        <v>133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6">
        <f t="shared" si="1"/>
        <v>133</v>
      </c>
    </row>
    <row r="80" spans="1:37" hidden="1" x14ac:dyDescent="0.25">
      <c r="A80" s="13" t="s">
        <v>182</v>
      </c>
      <c r="B80" s="22" t="s">
        <v>168</v>
      </c>
      <c r="C80" s="22" t="s">
        <v>169</v>
      </c>
      <c r="D80" s="13"/>
      <c r="E80" s="13"/>
      <c r="F80" s="37">
        <f>'Feb 2026'!AI80</f>
        <v>224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>
        <v>-30</v>
      </c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6">
        <f t="shared" si="1"/>
        <v>194</v>
      </c>
    </row>
    <row r="81" spans="1:40" hidden="1" x14ac:dyDescent="0.25">
      <c r="A81" s="13" t="s">
        <v>182</v>
      </c>
      <c r="B81" s="22" t="s">
        <v>170</v>
      </c>
      <c r="C81" s="22" t="s">
        <v>171</v>
      </c>
      <c r="D81" s="13"/>
      <c r="E81" s="13"/>
      <c r="F81" s="37">
        <f>'Feb 2026'!AI81</f>
        <v>271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6">
        <f t="shared" si="1"/>
        <v>271</v>
      </c>
    </row>
    <row r="82" spans="1:40" hidden="1" x14ac:dyDescent="0.25">
      <c r="A82" s="13" t="s">
        <v>182</v>
      </c>
      <c r="B82" s="22" t="s">
        <v>172</v>
      </c>
      <c r="C82" s="22" t="s">
        <v>173</v>
      </c>
      <c r="D82" s="13"/>
      <c r="E82" s="13"/>
      <c r="F82" s="37">
        <f>'Feb 2026'!AI82</f>
        <v>249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6">
        <f t="shared" si="1"/>
        <v>249</v>
      </c>
    </row>
    <row r="83" spans="1:40" hidden="1" x14ac:dyDescent="0.25">
      <c r="A83" s="13" t="s">
        <v>182</v>
      </c>
      <c r="B83" s="22" t="s">
        <v>174</v>
      </c>
      <c r="C83" s="22" t="s">
        <v>175</v>
      </c>
      <c r="D83" s="13"/>
      <c r="E83" s="13"/>
      <c r="F83" s="37">
        <f>'Feb 2026'!AI83</f>
        <v>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6">
        <f t="shared" si="1"/>
        <v>53</v>
      </c>
    </row>
    <row r="84" spans="1:40" hidden="1" x14ac:dyDescent="0.25">
      <c r="A84" s="13" t="s">
        <v>182</v>
      </c>
      <c r="B84" s="22" t="s">
        <v>176</v>
      </c>
      <c r="C84" s="22" t="s">
        <v>177</v>
      </c>
      <c r="D84" s="13"/>
      <c r="E84" s="13"/>
      <c r="F84" s="37">
        <f>'Feb 2026'!AI84</f>
        <v>40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6">
        <f t="shared" si="1"/>
        <v>40</v>
      </c>
    </row>
    <row r="85" spans="1:40" hidden="1" x14ac:dyDescent="0.25">
      <c r="A85" s="13" t="s">
        <v>182</v>
      </c>
      <c r="B85" s="22" t="s">
        <v>178</v>
      </c>
      <c r="C85" s="22" t="s">
        <v>179</v>
      </c>
      <c r="D85" s="13"/>
      <c r="E85" s="13"/>
      <c r="F85" s="37">
        <f>'Feb 2026'!AI85</f>
        <v>58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6">
        <f t="shared" si="1"/>
        <v>58</v>
      </c>
    </row>
    <row r="86" spans="1:40" hidden="1" x14ac:dyDescent="0.25">
      <c r="A86" s="13"/>
      <c r="B86" s="22"/>
      <c r="C86" s="2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36">
        <f t="shared" si="1"/>
        <v>0</v>
      </c>
    </row>
    <row r="87" spans="1:40" hidden="1" x14ac:dyDescent="0.25">
      <c r="A87" s="13"/>
      <c r="B87" s="22"/>
      <c r="C87" s="2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36">
        <f t="shared" si="1"/>
        <v>0</v>
      </c>
    </row>
    <row r="88" spans="1:40" hidden="1" x14ac:dyDescent="0.25">
      <c r="A88" s="13"/>
      <c r="B88" s="22"/>
      <c r="C88" s="2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36">
        <f t="shared" si="1"/>
        <v>0</v>
      </c>
    </row>
    <row r="89" spans="1:40" x14ac:dyDescent="0.25">
      <c r="A89" s="13"/>
      <c r="B89" s="22"/>
      <c r="C89" s="2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6"/>
    </row>
    <row r="90" spans="1:40" x14ac:dyDescent="0.25">
      <c r="A90" s="13"/>
      <c r="B90" s="22"/>
      <c r="C90" s="2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6"/>
    </row>
    <row r="91" spans="1:40" ht="15.75" thickBot="1" x14ac:dyDescent="0.3">
      <c r="A91" s="1"/>
      <c r="B91" s="2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32.25" thickBot="1" x14ac:dyDescent="0.3">
      <c r="A92" s="1"/>
      <c r="B92" s="7" t="s">
        <v>21</v>
      </c>
      <c r="C92" s="20"/>
      <c r="D92" s="20"/>
      <c r="E92" s="8" t="s">
        <v>22</v>
      </c>
      <c r="F92" s="23" t="s">
        <v>23</v>
      </c>
      <c r="G92" s="27" t="s">
        <v>24</v>
      </c>
      <c r="H92" s="2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6.5" thickBot="1" x14ac:dyDescent="0.3">
      <c r="A93" s="1"/>
      <c r="B93" s="9" t="s">
        <v>25</v>
      </c>
      <c r="C93" s="21"/>
      <c r="D93" s="21"/>
      <c r="E93" s="10"/>
      <c r="F93" s="24"/>
      <c r="G93" s="57"/>
      <c r="H93" s="5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32.25" thickBot="1" x14ac:dyDescent="0.3">
      <c r="A94" s="1"/>
      <c r="B94" s="9" t="s">
        <v>26</v>
      </c>
      <c r="C94" s="21"/>
      <c r="D94" s="21"/>
      <c r="E94" s="11"/>
      <c r="F94" s="25"/>
      <c r="G94" s="59"/>
      <c r="H94" s="6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6.5" thickBot="1" x14ac:dyDescent="0.3">
      <c r="A95" s="1"/>
      <c r="B95" s="9" t="s">
        <v>27</v>
      </c>
      <c r="C95" s="21"/>
      <c r="D95" s="21"/>
      <c r="E95" s="12"/>
      <c r="F95" s="26"/>
      <c r="G95" s="61"/>
      <c r="H95" s="6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.75" x14ac:dyDescent="0.25">
      <c r="A96" s="1"/>
      <c r="B96" s="63" t="s">
        <v>28</v>
      </c>
      <c r="C96" s="18"/>
      <c r="D96" s="18"/>
      <c r="E96" s="66"/>
      <c r="F96" s="69"/>
      <c r="G96" s="72"/>
      <c r="H96" s="7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.75" x14ac:dyDescent="0.25">
      <c r="A97" s="1"/>
      <c r="B97" s="64"/>
      <c r="C97" s="19"/>
      <c r="D97" s="19"/>
      <c r="E97" s="67"/>
      <c r="F97" s="70"/>
      <c r="G97" s="72"/>
      <c r="H97" s="7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6.5" thickBot="1" x14ac:dyDescent="0.3">
      <c r="A98" s="1"/>
      <c r="B98" s="65"/>
      <c r="C98" s="9"/>
      <c r="D98" s="9"/>
      <c r="E98" s="68"/>
      <c r="F98" s="71"/>
      <c r="G98" s="74"/>
      <c r="H98" s="7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</sheetData>
  <autoFilter ref="A10:AN88" xr:uid="{13FA4F52-71B8-412F-98FA-15C955F1BADB}">
    <filterColumn colId="2">
      <filters>
        <filter val="Keypad - 1.1 - CE10"/>
        <filter val="Keypad - 1.1 - CE120"/>
        <filter val="Keypad - 1.1 - CE1230"/>
        <filter val="Keypad - 1.1 - CE1234H"/>
        <filter val="Keypad - 1.1 - CE123H"/>
        <filter val="Keypad - 1.1 - CE1240"/>
        <filter val="Keypad - 1.1 - CE12430"/>
        <filter val="Keypad - 1.1 - CE124H"/>
        <filter val="Keypad - 1.1 - CE12H"/>
        <filter val="Keypad - 1.1 - CE130"/>
        <filter val="Keypad - 1.1 - CE13H"/>
        <filter val="Keypad - 1.1 - CE140"/>
        <filter val="Keypad - 1.1 - CE14H"/>
        <filter val="Keypad - 1.1 - CE1H"/>
      </filters>
    </filterColumn>
  </autoFilter>
  <mergeCells count="24">
    <mergeCell ref="G93:H93"/>
    <mergeCell ref="G94:H94"/>
    <mergeCell ref="G95:H95"/>
    <mergeCell ref="B96:B98"/>
    <mergeCell ref="E96:E98"/>
    <mergeCell ref="F96:F98"/>
    <mergeCell ref="G96:H98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K11:AK90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Jan 2026</vt:lpstr>
      <vt:lpstr>Feb 2026</vt:lpstr>
      <vt:lpstr>March 2026</vt:lpstr>
      <vt:lpstr>April 2026</vt:lpstr>
      <vt:lpstr>'Jan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2026-04-16T07:57:37Z</dcterms:modified>
  <cp:category/>
  <cp:contentStatus/>
</cp:coreProperties>
</file>