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13_ncr:1_{D5A8183B-F95F-45A7-9759-E1B20205A22D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xlnm._FilterDatabase" localSheetId="3" hidden="1">'April 2026'!$A$10:$AO$101</definedName>
    <definedName name="_xlnm._FilterDatabase" localSheetId="1" hidden="1">'Feb 2026'!$A$10:$AL$117</definedName>
    <definedName name="_xlnm._FilterDatabase" localSheetId="0" hidden="1">'Jan 2026'!$A$10:$AO$101</definedName>
    <definedName name="_xlnm._FilterDatabase" localSheetId="2" hidden="1">'March 2026'!$A$10:$AO$101</definedName>
    <definedName name="_Hlk122640495" localSheetId="0">'Jan 2026'!$B$111</definedName>
    <definedName name="_Hlk122640495" localSheetId="2">'March 2026'!$B$111</definedName>
    <definedName name="_Hlk126512593" localSheetId="0">'Jan 2026'!#REF!</definedName>
    <definedName name="_Hlk126512593" localSheetId="2">'March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7" l="1"/>
  <c r="M56" i="7"/>
  <c r="N23" i="7"/>
  <c r="N12" i="7"/>
  <c r="N100" i="7"/>
  <c r="N77" i="7"/>
  <c r="S56" i="7"/>
  <c r="S58" i="7"/>
  <c r="U100" i="7" l="1"/>
  <c r="U12" i="7"/>
  <c r="U77" i="7"/>
  <c r="U55" i="7"/>
  <c r="U57" i="7"/>
  <c r="AL101" i="1"/>
  <c r="AL102" i="1"/>
  <c r="AL103" i="1"/>
  <c r="G23" i="7" l="1"/>
  <c r="I100" i="7"/>
  <c r="I77" i="7"/>
  <c r="I16" i="7"/>
  <c r="I12" i="7"/>
  <c r="AJ100" i="6"/>
  <c r="AJ54" i="6" l="1"/>
  <c r="AJ48" i="6"/>
  <c r="AJ44" i="6"/>
  <c r="AJ43" i="6"/>
  <c r="Q99" i="6" l="1"/>
  <c r="Q56" i="6"/>
  <c r="Q24" i="6"/>
  <c r="L80" i="6"/>
  <c r="L77" i="6"/>
  <c r="L57" i="6"/>
  <c r="L55" i="6"/>
  <c r="L29" i="6"/>
  <c r="L23" i="6"/>
  <c r="L12" i="6"/>
  <c r="L100" i="6"/>
  <c r="K100" i="6" l="1"/>
  <c r="K77" i="6" l="1"/>
  <c r="K55" i="6"/>
  <c r="K57" i="6"/>
  <c r="K16" i="6"/>
  <c r="K13" i="6"/>
  <c r="K15" i="6"/>
  <c r="K12" i="6"/>
  <c r="I77" i="5"/>
  <c r="H56" i="5"/>
  <c r="V15" i="1"/>
  <c r="H48" i="6"/>
  <c r="F101" i="5" l="1"/>
  <c r="AL12" i="1"/>
  <c r="F12" i="5" s="1"/>
  <c r="AL13" i="1"/>
  <c r="F13" i="5" s="1"/>
  <c r="AL14" i="1"/>
  <c r="F14" i="5" s="1"/>
  <c r="AL15" i="1"/>
  <c r="F15" i="5" s="1"/>
  <c r="AL16" i="1"/>
  <c r="F16" i="5" s="1"/>
  <c r="AL17" i="1"/>
  <c r="F17" i="5" s="1"/>
  <c r="AL18" i="1"/>
  <c r="F18" i="5" s="1"/>
  <c r="AL19" i="1"/>
  <c r="F19" i="5" s="1"/>
  <c r="AL20" i="1"/>
  <c r="F20" i="5" s="1"/>
  <c r="AL21" i="1"/>
  <c r="F21" i="5" s="1"/>
  <c r="AL22" i="1"/>
  <c r="F22" i="5" s="1"/>
  <c r="AL23" i="1"/>
  <c r="F23" i="5" s="1"/>
  <c r="AL24" i="1"/>
  <c r="F24" i="5" s="1"/>
  <c r="AL25" i="1"/>
  <c r="F25" i="5" s="1"/>
  <c r="AL26" i="1"/>
  <c r="F26" i="5" s="1"/>
  <c r="AL27" i="1"/>
  <c r="F27" i="5" s="1"/>
  <c r="AL28" i="1"/>
  <c r="F28" i="5" s="1"/>
  <c r="AL29" i="1"/>
  <c r="F29" i="5" s="1"/>
  <c r="AL30" i="1"/>
  <c r="F30" i="5" s="1"/>
  <c r="AL31" i="1"/>
  <c r="F31" i="5" s="1"/>
  <c r="AL32" i="1"/>
  <c r="F32" i="5" s="1"/>
  <c r="AL33" i="1"/>
  <c r="F33" i="5" s="1"/>
  <c r="AL34" i="1"/>
  <c r="F34" i="5" s="1"/>
  <c r="AL35" i="1"/>
  <c r="F35" i="5" s="1"/>
  <c r="AL36" i="1"/>
  <c r="F36" i="5" s="1"/>
  <c r="AL37" i="1"/>
  <c r="F37" i="5" s="1"/>
  <c r="AL38" i="1"/>
  <c r="F38" i="5" s="1"/>
  <c r="AL39" i="1"/>
  <c r="F39" i="5" s="1"/>
  <c r="AL40" i="1"/>
  <c r="F40" i="5" s="1"/>
  <c r="AL41" i="1"/>
  <c r="F41" i="5" s="1"/>
  <c r="AL42" i="1"/>
  <c r="F42" i="5" s="1"/>
  <c r="AL43" i="1"/>
  <c r="F43" i="5" s="1"/>
  <c r="AL44" i="1"/>
  <c r="F44" i="5" s="1"/>
  <c r="AL45" i="1"/>
  <c r="F45" i="5" s="1"/>
  <c r="AL46" i="1"/>
  <c r="F46" i="5" s="1"/>
  <c r="AL47" i="1"/>
  <c r="F47" i="5" s="1"/>
  <c r="AL48" i="1"/>
  <c r="F48" i="5" s="1"/>
  <c r="AL49" i="1"/>
  <c r="F49" i="5" s="1"/>
  <c r="AL50" i="1"/>
  <c r="F50" i="5" s="1"/>
  <c r="AL51" i="1"/>
  <c r="F51" i="5" s="1"/>
  <c r="AL52" i="1"/>
  <c r="F52" i="5" s="1"/>
  <c r="AL53" i="1"/>
  <c r="F53" i="5" s="1"/>
  <c r="AL54" i="1"/>
  <c r="F54" i="5" s="1"/>
  <c r="AL55" i="1"/>
  <c r="F55" i="5" s="1"/>
  <c r="AL56" i="1"/>
  <c r="F56" i="5" s="1"/>
  <c r="AL57" i="1"/>
  <c r="F57" i="5" s="1"/>
  <c r="AL58" i="1"/>
  <c r="F58" i="5" s="1"/>
  <c r="AL59" i="1"/>
  <c r="F59" i="5" s="1"/>
  <c r="AL60" i="1"/>
  <c r="F60" i="5" s="1"/>
  <c r="AL61" i="1"/>
  <c r="F61" i="5" s="1"/>
  <c r="AL62" i="1"/>
  <c r="F62" i="5" s="1"/>
  <c r="AL63" i="1"/>
  <c r="F63" i="5" s="1"/>
  <c r="AL64" i="1"/>
  <c r="F64" i="5" s="1"/>
  <c r="AL65" i="1"/>
  <c r="F65" i="5" s="1"/>
  <c r="AL66" i="1"/>
  <c r="F66" i="5" s="1"/>
  <c r="AL67" i="1"/>
  <c r="F67" i="5" s="1"/>
  <c r="AL68" i="1"/>
  <c r="F68" i="5" s="1"/>
  <c r="AL69" i="1"/>
  <c r="F69" i="5" s="1"/>
  <c r="AL70" i="1"/>
  <c r="F70" i="5" s="1"/>
  <c r="AL71" i="1"/>
  <c r="F71" i="5" s="1"/>
  <c r="AL72" i="1"/>
  <c r="F72" i="5" s="1"/>
  <c r="AL73" i="1"/>
  <c r="F73" i="5" s="1"/>
  <c r="AL74" i="1"/>
  <c r="F74" i="5" s="1"/>
  <c r="AL75" i="1"/>
  <c r="F75" i="5" s="1"/>
  <c r="AL76" i="1"/>
  <c r="F76" i="5" s="1"/>
  <c r="AL77" i="1"/>
  <c r="F77" i="5" s="1"/>
  <c r="AL78" i="1"/>
  <c r="F78" i="5" s="1"/>
  <c r="AL79" i="1"/>
  <c r="F79" i="5" s="1"/>
  <c r="AL80" i="1"/>
  <c r="F80" i="5" s="1"/>
  <c r="AL81" i="1"/>
  <c r="F81" i="5" s="1"/>
  <c r="AL82" i="1"/>
  <c r="F82" i="5" s="1"/>
  <c r="AL83" i="1"/>
  <c r="F83" i="5" s="1"/>
  <c r="AL84" i="1"/>
  <c r="F84" i="5" s="1"/>
  <c r="AL85" i="1"/>
  <c r="F85" i="5" s="1"/>
  <c r="AL86" i="1"/>
  <c r="F86" i="5" s="1"/>
  <c r="AL87" i="1"/>
  <c r="F87" i="5" s="1"/>
  <c r="AL88" i="1"/>
  <c r="F88" i="5" s="1"/>
  <c r="AL89" i="1"/>
  <c r="F89" i="5" s="1"/>
  <c r="AL90" i="1"/>
  <c r="F90" i="5" s="1"/>
  <c r="AL91" i="1"/>
  <c r="F91" i="5" s="1"/>
  <c r="AL92" i="1"/>
  <c r="F92" i="5" s="1"/>
  <c r="AL93" i="1"/>
  <c r="F93" i="5" s="1"/>
  <c r="AL94" i="1"/>
  <c r="F94" i="5" s="1"/>
  <c r="AL95" i="1"/>
  <c r="F95" i="5" s="1"/>
  <c r="AL96" i="1"/>
  <c r="F96" i="5" s="1"/>
  <c r="AL97" i="1"/>
  <c r="F97" i="5" s="1"/>
  <c r="AL98" i="1"/>
  <c r="F98" i="5" s="1"/>
  <c r="AL99" i="1"/>
  <c r="F99" i="5" s="1"/>
  <c r="AL100" i="1"/>
  <c r="F100" i="5" s="1"/>
  <c r="AL11" i="1"/>
  <c r="F11" i="5" s="1"/>
  <c r="AH61" i="5"/>
  <c r="S77" i="5"/>
  <c r="S55" i="5"/>
  <c r="S57" i="5"/>
  <c r="S12" i="5"/>
  <c r="S100" i="5"/>
  <c r="AD100" i="5"/>
  <c r="AD55" i="5"/>
  <c r="AD57" i="5"/>
  <c r="AD77" i="5"/>
  <c r="AD15" i="5"/>
  <c r="AD12" i="5"/>
  <c r="Z12" i="5" l="1"/>
  <c r="Z100" i="5"/>
  <c r="Z77" i="5"/>
  <c r="Z55" i="5"/>
  <c r="Z57" i="5"/>
  <c r="Z16" i="5"/>
  <c r="Z15" i="5"/>
  <c r="Z13" i="5"/>
  <c r="J29" i="5"/>
  <c r="J12" i="5"/>
  <c r="J16" i="5"/>
  <c r="J23" i="5"/>
  <c r="K77" i="5"/>
  <c r="J77" i="5"/>
  <c r="K100" i="5"/>
  <c r="J100" i="5"/>
  <c r="K55" i="5"/>
  <c r="K57" i="5"/>
  <c r="J55" i="5"/>
  <c r="J57" i="5"/>
  <c r="J15" i="5"/>
  <c r="AI15" i="5" s="1"/>
  <c r="F15" i="6" s="1"/>
  <c r="AL15" i="6" s="1"/>
  <c r="F15" i="7" s="1"/>
  <c r="AK15" i="7" s="1"/>
  <c r="K16" i="5"/>
  <c r="K13" i="5"/>
  <c r="K12" i="5"/>
  <c r="K15" i="5"/>
  <c r="H100" i="5"/>
  <c r="H77" i="5"/>
  <c r="AI13" i="5"/>
  <c r="F13" i="6" s="1"/>
  <c r="AL13" i="6" s="1"/>
  <c r="F13" i="7" s="1"/>
  <c r="AK13" i="7" s="1"/>
  <c r="AI14" i="5"/>
  <c r="F14" i="6" s="1"/>
  <c r="AL14" i="6" s="1"/>
  <c r="F14" i="7" s="1"/>
  <c r="AK14" i="7" s="1"/>
  <c r="AI16" i="5"/>
  <c r="F16" i="6" s="1"/>
  <c r="AL16" i="6" s="1"/>
  <c r="F16" i="7" s="1"/>
  <c r="AK16" i="7" s="1"/>
  <c r="AI17" i="5"/>
  <c r="F17" i="6" s="1"/>
  <c r="AL17" i="6" s="1"/>
  <c r="F17" i="7" s="1"/>
  <c r="AK17" i="7" s="1"/>
  <c r="AI18" i="5"/>
  <c r="F18" i="6" s="1"/>
  <c r="AL18" i="6" s="1"/>
  <c r="F18" i="7" s="1"/>
  <c r="AK18" i="7" s="1"/>
  <c r="AI19" i="5"/>
  <c r="F19" i="6" s="1"/>
  <c r="AL19" i="6" s="1"/>
  <c r="F19" i="7" s="1"/>
  <c r="AK19" i="7" s="1"/>
  <c r="AI20" i="5"/>
  <c r="F20" i="6" s="1"/>
  <c r="AL20" i="6" s="1"/>
  <c r="F20" i="7" s="1"/>
  <c r="AK20" i="7" s="1"/>
  <c r="AI21" i="5"/>
  <c r="F21" i="6" s="1"/>
  <c r="AL21" i="6" s="1"/>
  <c r="F21" i="7" s="1"/>
  <c r="AK21" i="7" s="1"/>
  <c r="AI22" i="5"/>
  <c r="F22" i="6" s="1"/>
  <c r="AL22" i="6" s="1"/>
  <c r="F22" i="7" s="1"/>
  <c r="AK22" i="7" s="1"/>
  <c r="AI23" i="5"/>
  <c r="F23" i="6" s="1"/>
  <c r="AL23" i="6" s="1"/>
  <c r="F23" i="7" s="1"/>
  <c r="AK23" i="7" s="1"/>
  <c r="AI24" i="5"/>
  <c r="F24" i="6" s="1"/>
  <c r="AL24" i="6" s="1"/>
  <c r="F24" i="7" s="1"/>
  <c r="AK24" i="7" s="1"/>
  <c r="AI25" i="5"/>
  <c r="F25" i="6" s="1"/>
  <c r="AL25" i="6" s="1"/>
  <c r="F25" i="7" s="1"/>
  <c r="AK25" i="7" s="1"/>
  <c r="AI26" i="5"/>
  <c r="F26" i="6" s="1"/>
  <c r="AL26" i="6" s="1"/>
  <c r="F26" i="7" s="1"/>
  <c r="AK26" i="7" s="1"/>
  <c r="AI27" i="5"/>
  <c r="F27" i="6" s="1"/>
  <c r="AL27" i="6" s="1"/>
  <c r="F27" i="7" s="1"/>
  <c r="AK27" i="7" s="1"/>
  <c r="AI28" i="5"/>
  <c r="F28" i="6" s="1"/>
  <c r="AL28" i="6" s="1"/>
  <c r="F28" i="7" s="1"/>
  <c r="AK28" i="7" s="1"/>
  <c r="AI29" i="5"/>
  <c r="F29" i="6" s="1"/>
  <c r="AL29" i="6" s="1"/>
  <c r="F29" i="7" s="1"/>
  <c r="AK29" i="7" s="1"/>
  <c r="AI30" i="5"/>
  <c r="F30" i="6" s="1"/>
  <c r="AL30" i="6" s="1"/>
  <c r="F30" i="7" s="1"/>
  <c r="AK30" i="7" s="1"/>
  <c r="AI31" i="5"/>
  <c r="F31" i="6" s="1"/>
  <c r="AL31" i="6" s="1"/>
  <c r="F31" i="7" s="1"/>
  <c r="AK31" i="7" s="1"/>
  <c r="AI32" i="5"/>
  <c r="F32" i="6" s="1"/>
  <c r="AL32" i="6" s="1"/>
  <c r="F32" i="7" s="1"/>
  <c r="AK32" i="7" s="1"/>
  <c r="AI33" i="5"/>
  <c r="F33" i="6" s="1"/>
  <c r="AL33" i="6" s="1"/>
  <c r="F33" i="7" s="1"/>
  <c r="AK33" i="7" s="1"/>
  <c r="AI34" i="5"/>
  <c r="F34" i="6" s="1"/>
  <c r="AL34" i="6" s="1"/>
  <c r="F34" i="7" s="1"/>
  <c r="AK34" i="7" s="1"/>
  <c r="AI35" i="5"/>
  <c r="F35" i="6" s="1"/>
  <c r="AL35" i="6" s="1"/>
  <c r="F35" i="7" s="1"/>
  <c r="AK35" i="7" s="1"/>
  <c r="AI36" i="5"/>
  <c r="F36" i="6" s="1"/>
  <c r="AL36" i="6" s="1"/>
  <c r="F36" i="7" s="1"/>
  <c r="AK36" i="7" s="1"/>
  <c r="AI37" i="5"/>
  <c r="F37" i="6" s="1"/>
  <c r="AL37" i="6" s="1"/>
  <c r="F37" i="7" s="1"/>
  <c r="AK37" i="7" s="1"/>
  <c r="AI38" i="5"/>
  <c r="F38" i="6" s="1"/>
  <c r="AL38" i="6" s="1"/>
  <c r="F38" i="7" s="1"/>
  <c r="AK38" i="7" s="1"/>
  <c r="AI39" i="5"/>
  <c r="F39" i="6" s="1"/>
  <c r="AL39" i="6" s="1"/>
  <c r="F39" i="7" s="1"/>
  <c r="AK39" i="7" s="1"/>
  <c r="AI40" i="5"/>
  <c r="F40" i="6" s="1"/>
  <c r="AL40" i="6" s="1"/>
  <c r="F40" i="7" s="1"/>
  <c r="AK40" i="7" s="1"/>
  <c r="AI41" i="5"/>
  <c r="F41" i="6" s="1"/>
  <c r="AL41" i="6" s="1"/>
  <c r="F41" i="7" s="1"/>
  <c r="AK41" i="7" s="1"/>
  <c r="AI42" i="5"/>
  <c r="F42" i="6" s="1"/>
  <c r="AL42" i="6" s="1"/>
  <c r="F42" i="7" s="1"/>
  <c r="AK42" i="7" s="1"/>
  <c r="AI43" i="5"/>
  <c r="F43" i="6" s="1"/>
  <c r="AL43" i="6" s="1"/>
  <c r="F43" i="7" s="1"/>
  <c r="AK43" i="7" s="1"/>
  <c r="AI44" i="5"/>
  <c r="F44" i="6" s="1"/>
  <c r="AL44" i="6" s="1"/>
  <c r="F44" i="7" s="1"/>
  <c r="AK44" i="7" s="1"/>
  <c r="AI45" i="5"/>
  <c r="F45" i="6" s="1"/>
  <c r="AL45" i="6" s="1"/>
  <c r="F45" i="7" s="1"/>
  <c r="AK45" i="7" s="1"/>
  <c r="AI46" i="5"/>
  <c r="F46" i="6" s="1"/>
  <c r="AL46" i="6" s="1"/>
  <c r="F46" i="7" s="1"/>
  <c r="AK46" i="7" s="1"/>
  <c r="AI47" i="5"/>
  <c r="F47" i="6" s="1"/>
  <c r="AL47" i="6" s="1"/>
  <c r="F47" i="7" s="1"/>
  <c r="AK47" i="7" s="1"/>
  <c r="AI48" i="5"/>
  <c r="F48" i="6" s="1"/>
  <c r="AL48" i="6" s="1"/>
  <c r="F48" i="7" s="1"/>
  <c r="AK48" i="7" s="1"/>
  <c r="AI49" i="5"/>
  <c r="F49" i="6" s="1"/>
  <c r="AL49" i="6" s="1"/>
  <c r="F49" i="7" s="1"/>
  <c r="AK49" i="7" s="1"/>
  <c r="AI50" i="5"/>
  <c r="F50" i="6" s="1"/>
  <c r="AL50" i="6" s="1"/>
  <c r="F50" i="7" s="1"/>
  <c r="AK50" i="7" s="1"/>
  <c r="AI51" i="5"/>
  <c r="F51" i="6" s="1"/>
  <c r="AL51" i="6" s="1"/>
  <c r="F51" i="7" s="1"/>
  <c r="AK51" i="7" s="1"/>
  <c r="AI52" i="5"/>
  <c r="F52" i="6" s="1"/>
  <c r="AL52" i="6" s="1"/>
  <c r="F52" i="7" s="1"/>
  <c r="AK52" i="7" s="1"/>
  <c r="AI53" i="5"/>
  <c r="F53" i="6" s="1"/>
  <c r="AL53" i="6" s="1"/>
  <c r="F53" i="7" s="1"/>
  <c r="AK53" i="7" s="1"/>
  <c r="AI54" i="5"/>
  <c r="F54" i="6" s="1"/>
  <c r="AL54" i="6" s="1"/>
  <c r="F54" i="7" s="1"/>
  <c r="AK54" i="7" s="1"/>
  <c r="AI55" i="5"/>
  <c r="F55" i="6" s="1"/>
  <c r="AL55" i="6" s="1"/>
  <c r="F55" i="7" s="1"/>
  <c r="AK55" i="7" s="1"/>
  <c r="AI56" i="5"/>
  <c r="F56" i="6" s="1"/>
  <c r="AL56" i="6" s="1"/>
  <c r="F56" i="7" s="1"/>
  <c r="AK56" i="7" s="1"/>
  <c r="AI57" i="5"/>
  <c r="F57" i="6" s="1"/>
  <c r="AL57" i="6" s="1"/>
  <c r="F57" i="7" s="1"/>
  <c r="AK57" i="7" s="1"/>
  <c r="AI58" i="5"/>
  <c r="F58" i="6" s="1"/>
  <c r="AL58" i="6" s="1"/>
  <c r="F58" i="7" s="1"/>
  <c r="AK58" i="7" s="1"/>
  <c r="AI59" i="5"/>
  <c r="F59" i="6" s="1"/>
  <c r="AL59" i="6" s="1"/>
  <c r="F59" i="7" s="1"/>
  <c r="AK59" i="7" s="1"/>
  <c r="AI60" i="5"/>
  <c r="F60" i="6" s="1"/>
  <c r="AL60" i="6" s="1"/>
  <c r="F60" i="7" s="1"/>
  <c r="AK60" i="7" s="1"/>
  <c r="AI61" i="5"/>
  <c r="F61" i="6" s="1"/>
  <c r="AL61" i="6" s="1"/>
  <c r="F61" i="7" s="1"/>
  <c r="AK61" i="7" s="1"/>
  <c r="AI62" i="5"/>
  <c r="F62" i="6" s="1"/>
  <c r="AL62" i="6" s="1"/>
  <c r="F62" i="7" s="1"/>
  <c r="AK62" i="7" s="1"/>
  <c r="AI63" i="5"/>
  <c r="F63" i="6" s="1"/>
  <c r="AL63" i="6" s="1"/>
  <c r="F63" i="7" s="1"/>
  <c r="AK63" i="7" s="1"/>
  <c r="AI64" i="5"/>
  <c r="F64" i="6" s="1"/>
  <c r="AL64" i="6" s="1"/>
  <c r="F64" i="7" s="1"/>
  <c r="AK64" i="7" s="1"/>
  <c r="AI65" i="5"/>
  <c r="F65" i="6" s="1"/>
  <c r="AL65" i="6" s="1"/>
  <c r="F65" i="7" s="1"/>
  <c r="AK65" i="7" s="1"/>
  <c r="AI66" i="5"/>
  <c r="F66" i="6" s="1"/>
  <c r="AL66" i="6" s="1"/>
  <c r="F66" i="7" s="1"/>
  <c r="AK66" i="7" s="1"/>
  <c r="AI67" i="5"/>
  <c r="F67" i="6" s="1"/>
  <c r="AL67" i="6" s="1"/>
  <c r="F67" i="7" s="1"/>
  <c r="AK67" i="7" s="1"/>
  <c r="AI68" i="5"/>
  <c r="F68" i="6" s="1"/>
  <c r="AL68" i="6" s="1"/>
  <c r="F68" i="7" s="1"/>
  <c r="AK68" i="7" s="1"/>
  <c r="AI69" i="5"/>
  <c r="F69" i="6" s="1"/>
  <c r="AL69" i="6" s="1"/>
  <c r="F69" i="7" s="1"/>
  <c r="AK69" i="7" s="1"/>
  <c r="AI70" i="5"/>
  <c r="F70" i="6" s="1"/>
  <c r="AL70" i="6" s="1"/>
  <c r="F70" i="7" s="1"/>
  <c r="AK70" i="7" s="1"/>
  <c r="AI71" i="5"/>
  <c r="F71" i="6" s="1"/>
  <c r="AL71" i="6" s="1"/>
  <c r="F71" i="7" s="1"/>
  <c r="AK71" i="7" s="1"/>
  <c r="AI72" i="5"/>
  <c r="F72" i="6" s="1"/>
  <c r="AL72" i="6" s="1"/>
  <c r="F72" i="7" s="1"/>
  <c r="AK72" i="7" s="1"/>
  <c r="AI73" i="5"/>
  <c r="F73" i="6" s="1"/>
  <c r="AL73" i="6" s="1"/>
  <c r="F73" i="7" s="1"/>
  <c r="AK73" i="7" s="1"/>
  <c r="AI74" i="5"/>
  <c r="F74" i="6" s="1"/>
  <c r="AL74" i="6" s="1"/>
  <c r="F74" i="7" s="1"/>
  <c r="AK74" i="7" s="1"/>
  <c r="AI75" i="5"/>
  <c r="F75" i="6" s="1"/>
  <c r="AL75" i="6" s="1"/>
  <c r="F75" i="7" s="1"/>
  <c r="AK75" i="7" s="1"/>
  <c r="AI76" i="5"/>
  <c r="F76" i="6" s="1"/>
  <c r="AL76" i="6" s="1"/>
  <c r="F76" i="7" s="1"/>
  <c r="AK76" i="7" s="1"/>
  <c r="AI77" i="5"/>
  <c r="F77" i="6" s="1"/>
  <c r="AL77" i="6" s="1"/>
  <c r="F77" i="7" s="1"/>
  <c r="AK77" i="7" s="1"/>
  <c r="AI78" i="5"/>
  <c r="F78" i="6" s="1"/>
  <c r="AL78" i="6" s="1"/>
  <c r="F78" i="7" s="1"/>
  <c r="AK78" i="7" s="1"/>
  <c r="AI79" i="5"/>
  <c r="F79" i="6" s="1"/>
  <c r="AL79" i="6" s="1"/>
  <c r="F79" i="7" s="1"/>
  <c r="AK79" i="7" s="1"/>
  <c r="AI80" i="5"/>
  <c r="F80" i="6" s="1"/>
  <c r="AL80" i="6" s="1"/>
  <c r="F80" i="7" s="1"/>
  <c r="AK80" i="7" s="1"/>
  <c r="AI81" i="5"/>
  <c r="F81" i="6" s="1"/>
  <c r="AL81" i="6" s="1"/>
  <c r="F81" i="7" s="1"/>
  <c r="AK81" i="7" s="1"/>
  <c r="AI82" i="5"/>
  <c r="F82" i="6" s="1"/>
  <c r="AL82" i="6" s="1"/>
  <c r="F82" i="7" s="1"/>
  <c r="AK82" i="7" s="1"/>
  <c r="AI83" i="5"/>
  <c r="F83" i="6" s="1"/>
  <c r="AL83" i="6" s="1"/>
  <c r="F83" i="7" s="1"/>
  <c r="AK83" i="7" s="1"/>
  <c r="AI84" i="5"/>
  <c r="F84" i="6" s="1"/>
  <c r="AL84" i="6" s="1"/>
  <c r="F84" i="7" s="1"/>
  <c r="AK84" i="7" s="1"/>
  <c r="AI85" i="5"/>
  <c r="F85" i="6" s="1"/>
  <c r="AL85" i="6" s="1"/>
  <c r="F85" i="7" s="1"/>
  <c r="AK85" i="7" s="1"/>
  <c r="AI86" i="5"/>
  <c r="F86" i="6" s="1"/>
  <c r="AL86" i="6" s="1"/>
  <c r="F86" i="7" s="1"/>
  <c r="AK86" i="7" s="1"/>
  <c r="AI87" i="5"/>
  <c r="F87" i="6" s="1"/>
  <c r="AL87" i="6" s="1"/>
  <c r="F87" i="7" s="1"/>
  <c r="AK87" i="7" s="1"/>
  <c r="AI88" i="5"/>
  <c r="F88" i="6" s="1"/>
  <c r="AL88" i="6" s="1"/>
  <c r="F88" i="7" s="1"/>
  <c r="AK88" i="7" s="1"/>
  <c r="AI89" i="5"/>
  <c r="F89" i="6" s="1"/>
  <c r="AL89" i="6" s="1"/>
  <c r="F89" i="7" s="1"/>
  <c r="AK89" i="7" s="1"/>
  <c r="AI90" i="5"/>
  <c r="F90" i="6" s="1"/>
  <c r="AL90" i="6" s="1"/>
  <c r="F90" i="7" s="1"/>
  <c r="AK90" i="7" s="1"/>
  <c r="AI91" i="5"/>
  <c r="F91" i="6" s="1"/>
  <c r="AL91" i="6" s="1"/>
  <c r="F91" i="7" s="1"/>
  <c r="AK91" i="7" s="1"/>
  <c r="AI92" i="5"/>
  <c r="F92" i="6" s="1"/>
  <c r="AL92" i="6" s="1"/>
  <c r="F92" i="7" s="1"/>
  <c r="AK92" i="7" s="1"/>
  <c r="AI93" i="5"/>
  <c r="F93" i="6" s="1"/>
  <c r="AL93" i="6" s="1"/>
  <c r="F93" i="7" s="1"/>
  <c r="AK93" i="7" s="1"/>
  <c r="AI94" i="5"/>
  <c r="F94" i="6" s="1"/>
  <c r="AL94" i="6" s="1"/>
  <c r="F94" i="7" s="1"/>
  <c r="AK94" i="7" s="1"/>
  <c r="AI95" i="5"/>
  <c r="F95" i="6" s="1"/>
  <c r="AL95" i="6" s="1"/>
  <c r="F95" i="7" s="1"/>
  <c r="AK95" i="7" s="1"/>
  <c r="AI96" i="5"/>
  <c r="F96" i="6" s="1"/>
  <c r="AL96" i="6" s="1"/>
  <c r="F96" i="7" s="1"/>
  <c r="AK96" i="7" s="1"/>
  <c r="AI97" i="5"/>
  <c r="F97" i="6" s="1"/>
  <c r="AL97" i="6" s="1"/>
  <c r="F97" i="7" s="1"/>
  <c r="AK97" i="7" s="1"/>
  <c r="AI98" i="5"/>
  <c r="F98" i="6" s="1"/>
  <c r="AL98" i="6" s="1"/>
  <c r="F98" i="7" s="1"/>
  <c r="AK98" i="7" s="1"/>
  <c r="AI99" i="5"/>
  <c r="F99" i="6" s="1"/>
  <c r="AL99" i="6" s="1"/>
  <c r="F99" i="7" s="1"/>
  <c r="AK99" i="7" s="1"/>
  <c r="AI100" i="5"/>
  <c r="F100" i="6" s="1"/>
  <c r="AL100" i="6" s="1"/>
  <c r="F100" i="7" s="1"/>
  <c r="AK100" i="7" s="1"/>
  <c r="AI101" i="5"/>
  <c r="F101" i="6" s="1"/>
  <c r="AL101" i="6" s="1"/>
  <c r="F101" i="7" s="1"/>
  <c r="AK101" i="7" s="1"/>
  <c r="AI102" i="5"/>
  <c r="AI103" i="5"/>
  <c r="AI104" i="5"/>
  <c r="AI105" i="5"/>
  <c r="AI106" i="5"/>
  <c r="AI107" i="5"/>
  <c r="AI108" i="5"/>
  <c r="AI109" i="5"/>
  <c r="AI110" i="5"/>
  <c r="AI11" i="5"/>
  <c r="F11" i="6" s="1"/>
  <c r="AL11" i="6" s="1"/>
  <c r="F11" i="7" s="1"/>
  <c r="AK11" i="7" s="1"/>
  <c r="AJ100" i="1"/>
  <c r="AJ77" i="1"/>
  <c r="AJ16" i="1"/>
  <c r="AJ15" i="1"/>
  <c r="AJ12" i="1"/>
  <c r="AC55" i="1"/>
  <c r="AC57" i="1"/>
  <c r="AC100" i="1"/>
  <c r="AC12" i="1"/>
  <c r="AC77" i="1"/>
  <c r="AB77" i="1"/>
  <c r="AB55" i="1"/>
  <c r="AB57" i="1"/>
  <c r="AB100" i="1"/>
  <c r="AB12" i="1"/>
  <c r="W99" i="1"/>
  <c r="W56" i="1"/>
  <c r="W24" i="1"/>
  <c r="S100" i="1"/>
  <c r="S57" i="1"/>
  <c r="S55" i="1"/>
  <c r="S77" i="1"/>
  <c r="S12" i="1"/>
  <c r="AI12" i="5" l="1"/>
  <c r="F12" i="6" s="1"/>
  <c r="AL12" i="6" s="1"/>
  <c r="F12" i="7" s="1"/>
  <c r="AK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K16" authorId="0" shapeId="0" xr:uid="{11B08222-73C4-4B45-856D-89AA147FE5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Inv-NM/CR/25-26/2021  Dt-30-Jan-26</t>
        </r>
      </text>
    </comment>
    <comment ref="AK23" authorId="0" shapeId="0" xr:uid="{F810D7CF-55EF-4B51-95E6-DCE8312C0E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Inv-NM/CR/25-26/2021  Dt-30-Jan-26</t>
        </r>
      </text>
    </comment>
    <comment ref="AK37" authorId="0" shapeId="0" xr:uid="{75A56E6C-C76F-4585-8DB5-E715185BFC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Inv-NM/CR/25-26/2021  Dt-30-Jan-26</t>
        </r>
      </text>
    </comment>
    <comment ref="AK56" authorId="0" shapeId="0" xr:uid="{B73B5291-0278-4FB0-9403-E4DB81C540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Inv-2413  Dt-31-jan-26
</t>
        </r>
      </text>
    </comment>
    <comment ref="AK57" authorId="0" shapeId="0" xr:uid="{82816C04-08A5-419F-8F29-64F4AEEE9B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Inv-NM/CR/25-26/2021  Dt-30-Jan-26</t>
        </r>
      </text>
    </comment>
    <comment ref="AK58" authorId="0" shapeId="0" xr:uid="{42D3842D-5D1E-494E-87D5-8987F5B1F0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Inv-2413  Dt-31-jan-26
</t>
        </r>
      </text>
    </comment>
    <comment ref="AK77" authorId="0" shapeId="0" xr:uid="{2DBC812D-2AFC-408B-A45D-A51B4FA4D4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Inv-NM/CR/25-26/2021  Dt-30-Jan-26</t>
        </r>
      </text>
    </comment>
    <comment ref="AK80" authorId="0" shapeId="0" xr:uid="{C1EB2389-ABCD-4356-902A-E75B1DFCCD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Inv-NM/CR/25-26/2021  Dt-30-Jan-26</t>
        </r>
      </text>
    </comment>
    <comment ref="M97" authorId="0" shapeId="0" xr:uid="{C85AF678-3A18-41FE-9146-0E953030E2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Inv-AE/CR/25-26/3932  Dt.7-Jan-26</t>
        </r>
      </text>
    </comment>
    <comment ref="AK100" authorId="0" shapeId="0" xr:uid="{0BF1BF85-F233-4C68-BA84-3E80789A91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EB222ED5-C52B-4379-8BFD-AEEDD16475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A12" authorId="0" shapeId="0" xr:uid="{B881F546-99C3-4AC3-83C5-6111F2BCC207}">
      <text>
        <r>
          <rPr>
            <b/>
            <sz val="9"/>
            <color indexed="81"/>
            <rFont val="Tahoma"/>
            <family val="2"/>
          </rPr>
          <t>office @tellercomm. Namotronics                     Inv -NM/CR/25-26/2171  Dt .21-Feb-26</t>
        </r>
      </text>
    </comment>
    <comment ref="AA13" authorId="0" shapeId="0" xr:uid="{C107FA3E-FBEE-42D2-91A5-76CEF7A1EADE}">
      <text>
        <r>
          <rPr>
            <b/>
            <sz val="9"/>
            <color indexed="81"/>
            <rFont val="Tahoma"/>
            <family val="2"/>
          </rPr>
          <t>office @tellercomm. Namotronics                     Inv -NM/CR/25-26/2171  Dt .21-Feb-26</t>
        </r>
      </text>
    </comment>
    <comment ref="AA15" authorId="0" shapeId="0" xr:uid="{4908DD9C-3AA9-418C-98EE-D6CD5847C61E}">
      <text>
        <r>
          <rPr>
            <b/>
            <sz val="9"/>
            <color indexed="81"/>
            <rFont val="Tahoma"/>
            <family val="2"/>
          </rPr>
          <t>office @tellercomm. Namotronics                     Inv -NM/CR/25-26/2171  Dt .21-Feb-26</t>
        </r>
      </text>
    </comment>
    <comment ref="AA29" authorId="0" shapeId="0" xr:uid="{476ED675-8E51-4F45-AC8A-D0E42A78210A}">
      <text>
        <r>
          <rPr>
            <b/>
            <sz val="9"/>
            <color indexed="81"/>
            <rFont val="Tahoma"/>
            <family val="2"/>
          </rPr>
          <t>office @tellercomm. Namotronics                     Inv -NM/CR/25-26/2171  Dt .21-Feb-26</t>
        </r>
      </text>
    </comment>
    <comment ref="Z61" authorId="0" shapeId="0" xr:uid="{989E90A1-CBF0-49F4-8E2B-B3F94895417E}">
      <text>
        <r>
          <rPr>
            <b/>
            <sz val="9"/>
            <color indexed="81"/>
            <rFont val="Tahoma"/>
            <family val="2"/>
          </rPr>
          <t>office @tellercomm. Namotronics                     Inv -NM/CR/25-26/2171  Dt .21-Feb-26</t>
        </r>
      </text>
    </comment>
    <comment ref="R67" authorId="0" shapeId="0" xr:uid="{879EFB16-E67D-4B67-B5F6-4FD7A45690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Shenzen LCSC Electrincs         Inv-WL2601280368 Dt.12-Feb-26</t>
        </r>
      </text>
    </comment>
    <comment ref="R68" authorId="0" shapeId="0" xr:uid="{2D8B3CFA-6B0E-4AA6-9975-F0C077AB65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Shenzen LCSC Electrincs         Inv-WL2601280368 Dt.12-Feb-26</t>
        </r>
      </text>
    </comment>
    <comment ref="R69" authorId="0" shapeId="0" xr:uid="{623654D9-03F5-4B59-A9C0-825CA091A2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Shenzen LCSC Electrincs         Inv-WL2601280368 Dt.12-Feb-26</t>
        </r>
      </text>
    </comment>
    <comment ref="AA77" authorId="0" shapeId="0" xr:uid="{1A45BFF1-85E0-416F-8A69-E55AE10C7E5E}">
      <text>
        <r>
          <rPr>
            <b/>
            <sz val="9"/>
            <color indexed="81"/>
            <rFont val="Tahoma"/>
            <family val="2"/>
          </rPr>
          <t>office @tellercomm. Namotronics                     Inv -NM/CR/25-26/2171  Dt .21-Feb-26</t>
        </r>
      </text>
    </comment>
    <comment ref="R91" authorId="0" shapeId="0" xr:uid="{D31219E3-64E1-47A9-B594-77F2DDE21A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Shenzen LCSC Electrincs         Inv-WL2601280368 Dt.12-Feb-26</t>
        </r>
      </text>
    </comment>
    <comment ref="R92" authorId="0" shapeId="0" xr:uid="{4B443B0F-5413-4A59-88A1-489D33A066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Shenzen LCSC Electrincs         Inv-WL2601280368 Dt.12-Feb-26</t>
        </r>
      </text>
    </comment>
    <comment ref="R93" authorId="0" shapeId="0" xr:uid="{60102872-7A4F-4442-95EE-280E1DEBE3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Shenzen LCSC Electrincs         Inv-WL2601280368 Dt.12-Feb-26</t>
        </r>
      </text>
    </comment>
    <comment ref="R96" authorId="0" shapeId="0" xr:uid="{12D183B6-5E32-4C00-9997-1965A05A78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Shenzen LCSC Electrincs         Inv-WL2601280368 Dt.12-Feb-26</t>
        </r>
      </text>
    </comment>
    <comment ref="AA100" authorId="0" shapeId="0" xr:uid="{76F4EEAC-5C0C-4554-AA14-6C76291329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 -AE/CR/25-26/4567  Dt.21-Feb-26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B87F3670-2523-47C5-A47E-872D7E15C5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R15" authorId="0" shapeId="0" xr:uid="{D2F0E944-3F35-43CB-BCB9-DBC02E8FEE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Inv-NM/CR/25-26-2289  Dt-10-Mar-26
</t>
        </r>
      </text>
    </comment>
    <comment ref="R16" authorId="0" shapeId="0" xr:uid="{790B659B-A8B8-4235-AF7C-7E8C70E5C4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Inv-NM/CR/25-26-2289  Dt-10-Mar-26
</t>
        </r>
      </text>
    </comment>
    <comment ref="R37" authorId="0" shapeId="0" xr:uid="{BC42C860-37F6-4D1D-93D1-40B2B30F27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Inv-NM/CR/25-26-2289  Dt-10-Mar-26
</t>
        </r>
      </text>
    </comment>
    <comment ref="R43" authorId="0" shapeId="0" xr:uid="{BAB1B0CF-E622-4BF4-B1BE-0F289C2D30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Inv-NM/CR/25-26-2289  Dt-10-Mar-26
</t>
        </r>
      </text>
    </comment>
    <comment ref="R66" authorId="0" shapeId="0" xr:uid="{D05E671C-8DC6-4349-9B78-F27C976DA7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                    Inv-NM/CR/25-26-2289  Dt-10-Mar-26
</t>
        </r>
      </text>
    </comment>
    <comment ref="R97" authorId="0" shapeId="0" xr:uid="{3D430F79-6886-493E-87CF-5074E2EB33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Inv-AE/CR/25-26-4844    Dt-10-Mar-26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6017BE3E-A5EB-468B-8CA2-36CCFB7FB0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R12" authorId="0" shapeId="0" xr:uid="{A9797CA4-8B01-449B-A75B-1414A9B3D79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Inv-NM/CR/26-27-073
Dt.9-Apr-26</t>
        </r>
      </text>
    </comment>
    <comment ref="R15" authorId="0" shapeId="0" xr:uid="{66E0C1D8-2015-4A43-8399-BC9C9E2066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Inv-NM/CR/26-27-073
Dt.9-Apr-26</t>
        </r>
      </text>
    </comment>
    <comment ref="R16" authorId="0" shapeId="0" xr:uid="{45BCA97E-CF2B-4590-A7B2-A3233D521D2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Namotronics
Inv-NM/CR/26-27-073
 Dt.9-Apr-26</t>
        </r>
      </text>
    </comment>
    <comment ref="R23" authorId="0" shapeId="0" xr:uid="{4A6F7A30-EEC4-4FE6-B4E2-27319BF4BBB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Namotronics
Inv-NM/CR/26-27-073
 Dt.9-Apr-26</t>
        </r>
      </text>
    </comment>
    <comment ref="R24" authorId="0" shapeId="0" xr:uid="{A174C44A-6D3B-47AD-973B-EAF87FFA56F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Aarthi Electronics
Inv-AE/CR/26-27-142
Dt.9-Apr-26</t>
        </r>
      </text>
    </comment>
    <comment ref="S29" authorId="0" shapeId="0" xr:uid="{BCCB50D2-4F76-4C89-8D88-DE44E3495F9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Namotronics
Inv-NM/CR/26-27-073
 Dt.9-Apr-26</t>
        </r>
      </text>
    </comment>
    <comment ref="S40" authorId="0" shapeId="0" xr:uid="{ADAC82FC-DB8D-4731-911D-0FEB0452C42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Namotronics
Inv-NM/CR/26-27-073
 Dt.9-Apr-26</t>
        </r>
      </text>
    </comment>
    <comment ref="L47" authorId="0" shapeId="0" xr:uid="{CBD373A4-3130-46AB-89C4-DC59A4C4FF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Invoice -NM/CR/26-27/031 Dt-
4-apr-2026</t>
        </r>
      </text>
    </comment>
    <comment ref="L51" authorId="0" shapeId="0" xr:uid="{9EBD7D56-1AF9-41E0-8C9F-62066B6BF4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Invoice -NM/CR/26-27/031 Dt-
4-apr-2026</t>
        </r>
      </text>
    </comment>
    <comment ref="R56" authorId="0" shapeId="0" xr:uid="{E088496C-70D7-4CC9-A07D-296B84AAF0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Inv-AE/CR/26-27-142
Dt.9-Apr-26</t>
        </r>
      </text>
    </comment>
    <comment ref="S57" authorId="0" shapeId="0" xr:uid="{6362755E-B511-400D-B51B-7F3BE90196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Inv-NM/CR/26-27-073
Dt.9-Apr-26</t>
        </r>
      </text>
    </comment>
    <comment ref="W57" authorId="0" shapeId="0" xr:uid="{334A0FA6-E7BF-4948-8FCF-16DCB0CDDA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Inv-NM/CR/26-27/125
 Dt-17-Apr-26</t>
        </r>
      </text>
    </comment>
    <comment ref="L58" authorId="0" shapeId="0" xr:uid="{F78F796C-846C-4498-A14B-661987C44B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Invoice -NM/CR/26-27/031 Dt-
4-apr-2026</t>
        </r>
      </text>
    </comment>
    <comment ref="R58" authorId="0" shapeId="0" xr:uid="{8F09D70E-8B91-4A8F-BF4C-AAC4212BA4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Inv-AE/CR/26-27-142
 Dt-13-Apr-26</t>
        </r>
      </text>
    </comment>
    <comment ref="L61" authorId="0" shapeId="0" xr:uid="{EFB0D2D4-B371-448C-9C7B-F4934B1496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Invoice -NM/CR/26-27/031 Dt-
4-apr-2026</t>
        </r>
      </text>
    </comment>
    <comment ref="L76" authorId="0" shapeId="0" xr:uid="{B174A38A-7DE5-476C-9FBE-C461D8194D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Invoice -NM/CR/26-27/031 Dt-
4-apr-2026</t>
        </r>
      </text>
    </comment>
    <comment ref="R77" authorId="0" shapeId="0" xr:uid="{1D3F9803-3EDC-4D70-AE3C-561F5CD385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Inv-NM/CR/26-27-073
Dt.9-Apr-26</t>
        </r>
      </text>
    </comment>
    <comment ref="V77" authorId="0" shapeId="0" xr:uid="{4866CE46-A829-49B7-9C23-91F59C8FAF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Inv-NM/CR/26-27/125
 Dt-17-Apr-26</t>
        </r>
      </text>
    </comment>
    <comment ref="S80" authorId="0" shapeId="0" xr:uid="{B39B086F-CFA4-4741-AF68-BDF777A714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Namotronics
Inv-NM/CR/26-27-073
 Dt.13-Apr-26</t>
        </r>
      </text>
    </comment>
    <comment ref="R100" authorId="0" shapeId="0" xr:uid="{BEFD5456-776E-4DFE-85F6-C0362000EE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Inv-AE/CR/26-27-142
Dt-9-Apr-26</t>
        </r>
      </text>
    </comment>
  </commentList>
</comments>
</file>

<file path=xl/sharedStrings.xml><?xml version="1.0" encoding="utf-8"?>
<sst xmlns="http://schemas.openxmlformats.org/spreadsheetml/2006/main" count="1248" uniqueCount="219">
  <si>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</si>
  <si>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</si>
  <si>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</si>
  <si>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</si>
  <si>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</si>
  <si>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</si>
  <si>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</si>
  <si>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</si>
  <si>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</si>
  <si>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</si>
  <si>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</si>
  <si>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</si>
  <si>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</si>
  <si>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</si>
  <si>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</si>
  <si>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</si>
  <si>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</si>
  <si>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</si>
  <si>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</si>
  <si>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</si>
  <si>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</si>
  <si>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</si>
  <si>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</si>
  <si>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</si>
  <si>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</si>
  <si>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</si>
  <si>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</si>
  <si>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</si>
  <si>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</si>
  <si>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</si>
  <si>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</si>
  <si>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E4</t>
  </si>
  <si>
    <t>F3</t>
  </si>
  <si>
    <t>RES-0040001</t>
  </si>
  <si>
    <t>Resistor - 0.4E SMD</t>
  </si>
  <si>
    <t>RES-0040002</t>
  </si>
  <si>
    <t>Resistor - 0E SMD 1206</t>
  </si>
  <si>
    <t>RES-0040003</t>
  </si>
  <si>
    <t>Resistor - 100E SMD 1206</t>
  </si>
  <si>
    <t>RES-0040004</t>
  </si>
  <si>
    <t>Resistor - 100K SMD 1206</t>
  </si>
  <si>
    <t>RES-0040005</t>
  </si>
  <si>
    <t>Resistor - 10E SMD 1206</t>
  </si>
  <si>
    <t>RES-0040006</t>
  </si>
  <si>
    <t>Resistor - 10K SMD 1206</t>
  </si>
  <si>
    <t>RES-0040008</t>
  </si>
  <si>
    <t>Resistor - 11K SMD</t>
  </si>
  <si>
    <t>RES-0040009</t>
  </si>
  <si>
    <t>Resistor - 12K SMD</t>
  </si>
  <si>
    <t>RES-0040010</t>
  </si>
  <si>
    <t>Resistor - 13K SMD</t>
  </si>
  <si>
    <t>RES-0040011</t>
  </si>
  <si>
    <t>Resistor - 15K SMD</t>
  </si>
  <si>
    <t>RES-0040013</t>
  </si>
  <si>
    <t>Resistor - 16K SMD 1206</t>
  </si>
  <si>
    <t>RES-0040014</t>
  </si>
  <si>
    <t>Resistor - 18K SMD 1206</t>
  </si>
  <si>
    <t>RES-0040016</t>
  </si>
  <si>
    <t>Resistor - 1K SMD 1206</t>
  </si>
  <si>
    <t>RES-0040017</t>
  </si>
  <si>
    <t>Resistor - 1K TH - TellerX</t>
  </si>
  <si>
    <t>RES-0040018</t>
  </si>
  <si>
    <t>Resistor - 1M SMD 1206</t>
  </si>
  <si>
    <t>RES-0040019</t>
  </si>
  <si>
    <t>Resistor - 2.7K SMD</t>
  </si>
  <si>
    <t>RES-0040020</t>
  </si>
  <si>
    <t>Resistor - 200E SMD 1206</t>
  </si>
  <si>
    <t>RES-0040021</t>
  </si>
  <si>
    <t>Resistor - 200K SMD 1206</t>
  </si>
  <si>
    <t>RES-0040023</t>
  </si>
  <si>
    <t>Resistor - 220E SMD 1206</t>
  </si>
  <si>
    <t>RES-0040024</t>
  </si>
  <si>
    <t>Resistor - 220K SMD 1206</t>
  </si>
  <si>
    <t>RES-0040025</t>
  </si>
  <si>
    <t>Resistor - 22E 1206</t>
  </si>
  <si>
    <t>RES-0040026</t>
  </si>
  <si>
    <t>Resistor - 2K SMD 1206</t>
  </si>
  <si>
    <t>RES-0040027</t>
  </si>
  <si>
    <t>Resistor - 3.9 KE SMD</t>
  </si>
  <si>
    <t>RES-0040028</t>
  </si>
  <si>
    <t>Resistor - 300E SMD 1206</t>
  </si>
  <si>
    <t>RES-0040029</t>
  </si>
  <si>
    <t>Resistor - 330E SMD 1206</t>
  </si>
  <si>
    <t>RES-0040030</t>
  </si>
  <si>
    <t>Resistor - 33K 1206</t>
  </si>
  <si>
    <t>RES-0040031</t>
  </si>
  <si>
    <t>Resistor - 3K SMD 1206</t>
  </si>
  <si>
    <t>RES-0040034</t>
  </si>
  <si>
    <t>Resistor - 4.7K SMD 1206</t>
  </si>
  <si>
    <t>RES-0040040</t>
  </si>
  <si>
    <t>Resistor - 8.2K SMD</t>
  </si>
  <si>
    <t>RES-0040041</t>
  </si>
  <si>
    <t>Resistor - 6.2K SMD 1206</t>
  </si>
  <si>
    <t>RES-0040042</t>
  </si>
  <si>
    <t>Resistor - 5.1K SMD 1206</t>
  </si>
  <si>
    <t>RES-0040043</t>
  </si>
  <si>
    <t>Resistor - 5K SMD 1206 1%</t>
  </si>
  <si>
    <t>RES-0040044</t>
  </si>
  <si>
    <t>Resistor - 0E SMD 1206 1%</t>
  </si>
  <si>
    <t>RES-0040045</t>
  </si>
  <si>
    <t>Resistor - 10E SMD 1206 1%</t>
  </si>
  <si>
    <t>RES-0040046</t>
  </si>
  <si>
    <t>Resistor - 120E SMD 1206 1%</t>
  </si>
  <si>
    <t>RES-0040047</t>
  </si>
  <si>
    <t>Resistor - 1K SMD 1206 1%</t>
  </si>
  <si>
    <t>RES-0040048</t>
  </si>
  <si>
    <t>Resistor - 1.6K SMD 1206 1%</t>
  </si>
  <si>
    <t>RES-0040049</t>
  </si>
  <si>
    <t>Resistor - 10K SMD 1206 1%</t>
  </si>
  <si>
    <t>Potentiometer  0-20KE TH</t>
  </si>
  <si>
    <t>Potentiometer  0-50KE TH</t>
  </si>
  <si>
    <t>CAP-0050001</t>
  </si>
  <si>
    <t>Capacitor - 0.1µF SMD 1206</t>
  </si>
  <si>
    <t>CAP-0050002</t>
  </si>
  <si>
    <t>Capacitor - 1µF SMD 1206</t>
  </si>
  <si>
    <t>CAP-0050003</t>
  </si>
  <si>
    <t>Capacitor - 10µF / 63V TH</t>
  </si>
  <si>
    <t>CAP-0050004</t>
  </si>
  <si>
    <t>Capacitor - 10µF SMD 1206</t>
  </si>
  <si>
    <t>CAP-0050006</t>
  </si>
  <si>
    <t>Capacitor - 100µF / 16V SMD</t>
  </si>
  <si>
    <t>CAP-0050007</t>
  </si>
  <si>
    <t>Capacitor - 100µF / 25V TH - Teller X</t>
  </si>
  <si>
    <t>CAP-0050008</t>
  </si>
  <si>
    <t>Capacitor - 1000µF / 10V SMD</t>
  </si>
  <si>
    <t>CAP-0050009</t>
  </si>
  <si>
    <t>Capacitor - 1000µF / 16V TH</t>
  </si>
  <si>
    <t>CAP-0050010</t>
  </si>
  <si>
    <t>Capacitor - 100nf SMD 1206</t>
  </si>
  <si>
    <t>CAP-0050011</t>
  </si>
  <si>
    <t>Capacitor - 20µF SMD 1206</t>
  </si>
  <si>
    <t>CAP-0050012</t>
  </si>
  <si>
    <t>Capacitor - 22µF SMD 1206</t>
  </si>
  <si>
    <t>CAP-0050013</t>
  </si>
  <si>
    <t>Capacitor - 220µF / 10V TH</t>
  </si>
  <si>
    <t>CAP-0050014</t>
  </si>
  <si>
    <t>Capacitor - 1000µF / 25V TH</t>
  </si>
  <si>
    <t>CAP-0050015</t>
  </si>
  <si>
    <t>Capacitor - 100µF / 63V TH</t>
  </si>
  <si>
    <t>CAP-0050016</t>
  </si>
  <si>
    <t>Capacitor - 100µF / 35V SMD</t>
  </si>
  <si>
    <t>CAP-0050017</t>
  </si>
  <si>
    <t>Capacitor - 22pF / 25V SMD</t>
  </si>
  <si>
    <t>CAP-0050018</t>
  </si>
  <si>
    <t>Capacitor - 10µF SMD 1210</t>
  </si>
  <si>
    <t>CAP-0050019</t>
  </si>
  <si>
    <t>Capacitor - 100µF / 50V  SMD</t>
  </si>
  <si>
    <t>CAP-0050020</t>
  </si>
  <si>
    <t>Capacitor - 220µF / 16V  SMD</t>
  </si>
  <si>
    <t>CAP-0050021</t>
  </si>
  <si>
    <t>Capacitor - 220nF (Safety)</t>
  </si>
  <si>
    <t>DIO-0060001</t>
  </si>
  <si>
    <t>Diode - 1N4007 SMD</t>
  </si>
  <si>
    <t>DIO-0060002</t>
  </si>
  <si>
    <t>Diode - 1N4148 SMD - Zener</t>
  </si>
  <si>
    <t>DIO-0060003</t>
  </si>
  <si>
    <t>Diode - 1N4689 - Zener - 5.1V</t>
  </si>
  <si>
    <t>DIO-0060004</t>
  </si>
  <si>
    <t>Diode - 1N4690 SOD80 - Zener - 5.6V</t>
  </si>
  <si>
    <t>DIO-0060005</t>
  </si>
  <si>
    <t>Diode - 1N4691 SMD - Zener - 6.2V</t>
  </si>
  <si>
    <t>DIO-0060006</t>
  </si>
  <si>
    <t>Diode - 1N5819 SMD</t>
  </si>
  <si>
    <t>DIO-0060007</t>
  </si>
  <si>
    <t>Diode - SMBJ7.0A SMD</t>
  </si>
  <si>
    <t>DIO-0060008</t>
  </si>
  <si>
    <t>Diode - SS34 SMD</t>
  </si>
  <si>
    <t>DIO-0060009</t>
  </si>
  <si>
    <t>Diode - 1N4007  TH</t>
  </si>
  <si>
    <t>TRS-0070001</t>
  </si>
  <si>
    <t>Transistor - 2N2222 - SOT23</t>
  </si>
  <si>
    <t>TRS-0070002</t>
  </si>
  <si>
    <t>Transistor - 2N3904 SMD</t>
  </si>
  <si>
    <t>TRS-0070003</t>
  </si>
  <si>
    <t>Transistor - AO3400</t>
  </si>
  <si>
    <t>TRS-0070004</t>
  </si>
  <si>
    <t>Transistor - BC847 SMD</t>
  </si>
  <si>
    <t>TRS-0070005</t>
  </si>
  <si>
    <t>Transistor - BC857 SMD</t>
  </si>
  <si>
    <t>TRS-0070006</t>
  </si>
  <si>
    <t>Transistor - MOSFET AO3412</t>
  </si>
  <si>
    <t>TRS-0070007</t>
  </si>
  <si>
    <t>Transistor - MOSFET AO3413 / A39T - SOT23</t>
  </si>
  <si>
    <t>TRS-0070008</t>
  </si>
  <si>
    <t>Transistor - S8050 SMD</t>
  </si>
  <si>
    <t>Transistor - BC547 B TH</t>
  </si>
  <si>
    <t>ICS-0330001</t>
  </si>
  <si>
    <t>IC - BQ21040 - Charging IC</t>
  </si>
  <si>
    <t>ICS-0330002</t>
  </si>
  <si>
    <t xml:space="preserve">IC - Regulator AP2112K 3.3V </t>
  </si>
  <si>
    <t>ICS-0330003</t>
  </si>
  <si>
    <t>IC - LM2596R - ADJ - Buck  Adjustable</t>
  </si>
  <si>
    <t>ICS-0330004</t>
  </si>
  <si>
    <t>IC - MCP2515-1/SO  - Can Controller</t>
  </si>
  <si>
    <t>ICS-0330005</t>
  </si>
  <si>
    <t>IC - TJA1050T - JSM - Can  Transceiver</t>
  </si>
  <si>
    <t>VIB-0130001</t>
  </si>
  <si>
    <t>Vibrator - 4mm</t>
  </si>
  <si>
    <t>Vibrator - 6mm</t>
  </si>
  <si>
    <t>IND -0340001</t>
  </si>
  <si>
    <t>Inductor - 33uH SMD</t>
  </si>
  <si>
    <t>OSC-0120002</t>
  </si>
  <si>
    <t>Crystal Oscillator 8mhz</t>
  </si>
  <si>
    <t>Crystal Oscillator 16mhz</t>
  </si>
  <si>
    <t>MOV-0020001</t>
  </si>
  <si>
    <t>MOV 14K561 - TellerX</t>
  </si>
  <si>
    <t>MOV-0020002</t>
  </si>
  <si>
    <t>MOV 511KD10 - NCS</t>
  </si>
  <si>
    <t>MOV-0020003</t>
  </si>
  <si>
    <t>MOV 561KD10 - NCS</t>
  </si>
  <si>
    <t>G3</t>
  </si>
  <si>
    <t>G2</t>
  </si>
  <si>
    <t>D3</t>
  </si>
  <si>
    <t>F2</t>
  </si>
  <si>
    <t>Opening Stock</t>
  </si>
  <si>
    <t>Closing Stock</t>
  </si>
  <si>
    <t>On Order</t>
  </si>
  <si>
    <t>D &amp; D</t>
  </si>
  <si>
    <t>No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</si>
</sst>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&quot;(&quot;#,##0.00&quot;)&quot;;&quot;-&quot;#&quot; &quot;;&quot; &quot;@&quot; &quot;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70C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9" fillId="0" borderId="0" applyFont="0" applyBorder="0" applyProtection="0"/>
    <xf numFmtId="0" fontId="18" fillId="0" borderId="0">
      <alignment vertical="center"/>
    </xf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1" fontId="13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vertical="top"/>
    </xf>
    <xf numFmtId="0" fontId="5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" fontId="3" fillId="0" borderId="14" xfId="0" applyNumberFormat="1" applyFont="1" applyBorder="1" applyAlignment="1">
      <alignment horizontal="center" wrapText="1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4" fillId="3" borderId="1" xfId="0" applyFont="1" applyFill="1" applyBorder="1" applyAlignment="1">
      <alignment vertical="top"/>
    </xf>
    <xf numFmtId="0" fontId="14" fillId="0" borderId="14" xfId="0" applyFont="1" applyBorder="1" applyAlignment="1">
      <alignment vertical="top"/>
    </xf>
    <xf numFmtId="0" fontId="14" fillId="3" borderId="14" xfId="0" applyFont="1" applyFill="1" applyBorder="1" applyAlignment="1">
      <alignment vertical="top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16" fillId="0" borderId="1" xfId="0" applyNumberFormat="1" applyFont="1" applyBorder="1"/>
    <xf numFmtId="0" fontId="17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" fontId="13" fillId="4" borderId="14" xfId="0" applyNumberFormat="1" applyFont="1" applyFill="1" applyBorder="1" applyAlignment="1">
      <alignment horizontal="center" wrapText="1"/>
    </xf>
    <xf numFmtId="1" fontId="17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5" fillId="2" borderId="2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3">
    <cellStyle name="Excel Built-in Currency" xfId="1" xr:uid="{9307E0F1-9EE3-4D63-A3C7-53DECBD9E2BB}"/>
    <cellStyle name="Normal" xfId="0" builtinId="0"/>
    <cellStyle name="Normal 2" xfId="2" xr:uid="{A108C7A3-ED8E-4329-BF53-0D0CFEF2A61E}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Q117"/>
  <sheetViews>
    <sheetView workbookViewId="0">
      <pane xSplit="3" ySplit="10" topLeftCell="D46" activePane="bottomRight" state="frozen"/>
      <selection pane="topRight" activeCell="D1" sqref="D1"/>
      <selection pane="bottomLeft" activeCell="A11" sqref="A11"/>
      <selection pane="bottomRight" activeCell="F102" sqref="F102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16384" width="16.85546875" style="1"/>
  </cols>
  <sheetData>
    <row r="1" spans="1:43" customFormat="1" ht="23.45" customHeight="1" x14ac:dyDescent="0.25">
      <c r="E1" s="65" t="s">
        <v>29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43" customFormat="1" ht="15" x14ac:dyDescent="0.25">
      <c r="E2" s="66" t="s">
        <v>30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8"/>
    </row>
    <row r="3" spans="1:43" customFormat="1" ht="15.75" x14ac:dyDescent="0.25">
      <c r="E3" s="69" t="s">
        <v>0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43" customFormat="1" ht="15" x14ac:dyDescent="0.25">
      <c r="E4" s="70" t="s">
        <v>1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</row>
    <row r="5" spans="1:43" customFormat="1" ht="15.75" x14ac:dyDescent="0.25">
      <c r="E5" s="60" t="s">
        <v>2</v>
      </c>
      <c r="F5" s="60"/>
      <c r="G5" s="60"/>
      <c r="H5" s="71" t="s">
        <v>3</v>
      </c>
      <c r="I5" s="72"/>
      <c r="J5" s="73"/>
      <c r="K5" s="62" t="s">
        <v>4</v>
      </c>
      <c r="L5" s="62"/>
      <c r="M5" s="11">
        <v>0</v>
      </c>
      <c r="N5" s="74" t="s">
        <v>5</v>
      </c>
      <c r="O5" s="74"/>
      <c r="P5" s="75"/>
      <c r="Q5" s="76"/>
    </row>
    <row r="6" spans="1:43" customFormat="1" ht="15.75" x14ac:dyDescent="0.25">
      <c r="E6" s="60" t="s">
        <v>6</v>
      </c>
      <c r="F6" s="60"/>
      <c r="G6" s="60"/>
      <c r="H6" s="61" t="s">
        <v>7</v>
      </c>
      <c r="I6" s="61"/>
      <c r="J6" s="61"/>
      <c r="K6" s="62" t="s">
        <v>8</v>
      </c>
      <c r="L6" s="62"/>
      <c r="M6" s="63" t="s">
        <v>9</v>
      </c>
      <c r="N6" s="63"/>
      <c r="O6" s="63"/>
      <c r="P6" s="63"/>
      <c r="Q6" s="63"/>
    </row>
    <row r="7" spans="1:43" customFormat="1" ht="15.75" x14ac:dyDescent="0.25">
      <c r="E7" s="62" t="s">
        <v>10</v>
      </c>
      <c r="F7" s="62"/>
      <c r="G7" s="62"/>
      <c r="H7" s="64"/>
      <c r="I7" s="64"/>
      <c r="J7" s="64"/>
      <c r="K7" s="62" t="s">
        <v>11</v>
      </c>
      <c r="L7" s="62"/>
      <c r="M7" s="63"/>
      <c r="N7" s="63"/>
      <c r="O7" s="63"/>
      <c r="P7" s="63"/>
      <c r="Q7" s="63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214</v>
      </c>
      <c r="G10" s="35">
        <v>46023</v>
      </c>
      <c r="H10" s="35">
        <v>46024</v>
      </c>
      <c r="I10" s="35">
        <v>46025</v>
      </c>
      <c r="J10" s="35">
        <v>46026</v>
      </c>
      <c r="K10" s="35">
        <v>46027</v>
      </c>
      <c r="L10" s="35">
        <v>46028</v>
      </c>
      <c r="M10" s="35">
        <v>46029</v>
      </c>
      <c r="N10" s="35">
        <v>46030</v>
      </c>
      <c r="O10" s="35">
        <v>46031</v>
      </c>
      <c r="P10" s="35">
        <v>46032</v>
      </c>
      <c r="Q10" s="35">
        <v>46033</v>
      </c>
      <c r="R10" s="35">
        <v>46034</v>
      </c>
      <c r="S10" s="35">
        <v>46035</v>
      </c>
      <c r="T10" s="35">
        <v>46036</v>
      </c>
      <c r="U10" s="35">
        <v>46037</v>
      </c>
      <c r="V10" s="35">
        <v>46038</v>
      </c>
      <c r="W10" s="35">
        <v>46039</v>
      </c>
      <c r="X10" s="35">
        <v>46040</v>
      </c>
      <c r="Y10" s="35">
        <v>46041</v>
      </c>
      <c r="Z10" s="35">
        <v>46042</v>
      </c>
      <c r="AA10" s="35">
        <v>46043</v>
      </c>
      <c r="AB10" s="35">
        <v>46044</v>
      </c>
      <c r="AC10" s="35">
        <v>46045</v>
      </c>
      <c r="AD10" s="35">
        <v>46046</v>
      </c>
      <c r="AE10" s="35">
        <v>46047</v>
      </c>
      <c r="AF10" s="35">
        <v>46048</v>
      </c>
      <c r="AG10" s="35">
        <v>46049</v>
      </c>
      <c r="AH10" s="35">
        <v>46050</v>
      </c>
      <c r="AI10" s="35">
        <v>46051</v>
      </c>
      <c r="AJ10" s="35">
        <v>46052</v>
      </c>
      <c r="AK10" s="35">
        <v>46053</v>
      </c>
      <c r="AL10" s="12" t="s">
        <v>215</v>
      </c>
      <c r="AM10" s="3" t="s">
        <v>18</v>
      </c>
      <c r="AN10" s="3" t="s">
        <v>19</v>
      </c>
      <c r="AO10" s="3" t="s">
        <v>20</v>
      </c>
      <c r="AP10" s="14"/>
      <c r="AQ10" s="15"/>
    </row>
    <row r="11" spans="1:43" customFormat="1" ht="15" hidden="1" x14ac:dyDescent="0.25">
      <c r="A11" s="11" t="s">
        <v>31</v>
      </c>
      <c r="B11" s="31" t="s">
        <v>33</v>
      </c>
      <c r="C11" s="20" t="s">
        <v>34</v>
      </c>
      <c r="D11" s="11"/>
      <c r="E11" s="11"/>
      <c r="F11" s="36">
        <v>1003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8">
        <f>F11+SUM(G11:AK11)</f>
        <v>1003</v>
      </c>
    </row>
    <row r="12" spans="1:43" customFormat="1" ht="15" hidden="1" x14ac:dyDescent="0.25">
      <c r="A12" s="11" t="s">
        <v>31</v>
      </c>
      <c r="B12" s="31" t="s">
        <v>35</v>
      </c>
      <c r="C12" s="20" t="s">
        <v>36</v>
      </c>
      <c r="D12" s="11"/>
      <c r="E12" s="11"/>
      <c r="F12" s="36">
        <v>1819</v>
      </c>
      <c r="G12" s="33"/>
      <c r="H12" s="33">
        <v>-12</v>
      </c>
      <c r="I12" s="33"/>
      <c r="J12" s="33"/>
      <c r="K12" s="33"/>
      <c r="L12" s="33">
        <v>-69</v>
      </c>
      <c r="M12" s="33"/>
      <c r="N12" s="33">
        <v>-37</v>
      </c>
      <c r="O12" s="33"/>
      <c r="P12" s="33"/>
      <c r="Q12" s="33"/>
      <c r="R12" s="33"/>
      <c r="S12" s="33">
        <f>-12+-12</f>
        <v>-24</v>
      </c>
      <c r="T12" s="33"/>
      <c r="U12" s="33"/>
      <c r="V12" s="33">
        <v>-14</v>
      </c>
      <c r="W12" s="33"/>
      <c r="X12" s="33"/>
      <c r="Y12" s="33"/>
      <c r="Z12" s="33"/>
      <c r="AA12" s="33"/>
      <c r="AB12" s="33">
        <f>-13+-12</f>
        <v>-25</v>
      </c>
      <c r="AC12" s="33">
        <f>-20+-20</f>
        <v>-40</v>
      </c>
      <c r="AD12" s="33"/>
      <c r="AE12" s="33"/>
      <c r="AF12" s="33"/>
      <c r="AG12" s="33"/>
      <c r="AH12" s="33">
        <v>-121</v>
      </c>
      <c r="AI12" s="33"/>
      <c r="AJ12" s="33">
        <f>-7+-7</f>
        <v>-14</v>
      </c>
      <c r="AK12" s="33"/>
      <c r="AL12" s="38">
        <f t="shared" ref="AL12:AL75" si="0">F12+SUM(G12:AK12)</f>
        <v>1463</v>
      </c>
    </row>
    <row r="13" spans="1:43" customFormat="1" ht="15" hidden="1" x14ac:dyDescent="0.25">
      <c r="A13" s="11" t="s">
        <v>31</v>
      </c>
      <c r="B13" s="31" t="s">
        <v>37</v>
      </c>
      <c r="C13" s="20" t="s">
        <v>38</v>
      </c>
      <c r="D13" s="11"/>
      <c r="E13" s="11"/>
      <c r="F13" s="36">
        <v>602</v>
      </c>
      <c r="G13" s="33"/>
      <c r="H13" s="33">
        <v>-12</v>
      </c>
      <c r="I13" s="33"/>
      <c r="J13" s="33"/>
      <c r="K13" s="33"/>
      <c r="L13" s="33"/>
      <c r="M13" s="33"/>
      <c r="N13" s="33">
        <v>-37</v>
      </c>
      <c r="O13" s="33"/>
      <c r="P13" s="33"/>
      <c r="Q13" s="33"/>
      <c r="R13" s="33"/>
      <c r="S13" s="33">
        <v>-12</v>
      </c>
      <c r="T13" s="33"/>
      <c r="U13" s="33"/>
      <c r="V13" s="33">
        <v>-14</v>
      </c>
      <c r="W13" s="33"/>
      <c r="X13" s="33"/>
      <c r="Y13" s="33"/>
      <c r="Z13" s="33"/>
      <c r="AA13" s="33"/>
      <c r="AB13" s="33">
        <v>-13</v>
      </c>
      <c r="AC13" s="33">
        <v>-20</v>
      </c>
      <c r="AD13" s="33"/>
      <c r="AE13" s="33"/>
      <c r="AF13" s="33"/>
      <c r="AG13" s="33"/>
      <c r="AH13" s="33"/>
      <c r="AI13" s="33"/>
      <c r="AJ13" s="33">
        <v>-7</v>
      </c>
      <c r="AK13" s="33"/>
      <c r="AL13" s="38">
        <f t="shared" si="0"/>
        <v>487</v>
      </c>
    </row>
    <row r="14" spans="1:43" customFormat="1" ht="15" hidden="1" x14ac:dyDescent="0.25">
      <c r="A14" s="11" t="s">
        <v>31</v>
      </c>
      <c r="B14" s="31" t="s">
        <v>39</v>
      </c>
      <c r="C14" s="20" t="s">
        <v>40</v>
      </c>
      <c r="D14" s="11"/>
      <c r="E14" s="11"/>
      <c r="F14" s="36">
        <v>607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8">
        <f t="shared" si="0"/>
        <v>607</v>
      </c>
    </row>
    <row r="15" spans="1:43" customFormat="1" ht="15" hidden="1" x14ac:dyDescent="0.25">
      <c r="A15" s="11" t="s">
        <v>31</v>
      </c>
      <c r="B15" s="31" t="s">
        <v>41</v>
      </c>
      <c r="C15" s="20" t="s">
        <v>42</v>
      </c>
      <c r="D15" s="11"/>
      <c r="E15" s="11"/>
      <c r="F15" s="36">
        <v>693</v>
      </c>
      <c r="G15" s="33"/>
      <c r="H15" s="33">
        <v>-12</v>
      </c>
      <c r="I15" s="33"/>
      <c r="J15" s="33"/>
      <c r="K15" s="33"/>
      <c r="L15" s="33"/>
      <c r="M15" s="33"/>
      <c r="N15" s="33">
        <v>-37</v>
      </c>
      <c r="O15" s="33"/>
      <c r="P15" s="33"/>
      <c r="Q15" s="33"/>
      <c r="R15" s="33"/>
      <c r="S15" s="33">
        <v>-12</v>
      </c>
      <c r="T15" s="33"/>
      <c r="U15" s="33"/>
      <c r="V15" s="33">
        <f>-14+-6</f>
        <v>-20</v>
      </c>
      <c r="W15" s="33"/>
      <c r="X15" s="33"/>
      <c r="Y15" s="33"/>
      <c r="Z15" s="33"/>
      <c r="AA15" s="33"/>
      <c r="AB15" s="33">
        <v>-13</v>
      </c>
      <c r="AC15" s="33">
        <v>-20</v>
      </c>
      <c r="AD15" s="33"/>
      <c r="AE15" s="33"/>
      <c r="AF15" s="33"/>
      <c r="AG15" s="33"/>
      <c r="AH15" s="33">
        <v>-121</v>
      </c>
      <c r="AI15" s="33"/>
      <c r="AJ15" s="33">
        <f>-7+-7</f>
        <v>-14</v>
      </c>
      <c r="AK15" s="33"/>
      <c r="AL15" s="38">
        <f t="shared" si="0"/>
        <v>444</v>
      </c>
    </row>
    <row r="16" spans="1:43" customFormat="1" ht="15" hidden="1" x14ac:dyDescent="0.25">
      <c r="A16" s="11" t="s">
        <v>31</v>
      </c>
      <c r="B16" s="31" t="s">
        <v>43</v>
      </c>
      <c r="C16" s="20" t="s">
        <v>44</v>
      </c>
      <c r="D16" s="11"/>
      <c r="E16" s="11"/>
      <c r="F16" s="36">
        <v>815</v>
      </c>
      <c r="G16" s="33"/>
      <c r="H16" s="33">
        <v>-12</v>
      </c>
      <c r="I16" s="33"/>
      <c r="J16" s="33"/>
      <c r="K16" s="33"/>
      <c r="L16" s="33"/>
      <c r="M16" s="33"/>
      <c r="N16" s="33">
        <v>-37</v>
      </c>
      <c r="O16" s="33"/>
      <c r="P16" s="33"/>
      <c r="Q16" s="33"/>
      <c r="R16" s="33"/>
      <c r="S16" s="33">
        <v>-12</v>
      </c>
      <c r="T16" s="33"/>
      <c r="U16" s="33"/>
      <c r="V16" s="33">
        <v>-14</v>
      </c>
      <c r="W16" s="33"/>
      <c r="X16" s="33"/>
      <c r="Y16" s="33"/>
      <c r="Z16" s="33"/>
      <c r="AA16" s="33"/>
      <c r="AB16" s="33">
        <v>-13</v>
      </c>
      <c r="AC16" s="33">
        <v>-20</v>
      </c>
      <c r="AD16" s="33"/>
      <c r="AE16" s="33"/>
      <c r="AF16" s="33"/>
      <c r="AG16" s="33"/>
      <c r="AH16" s="33">
        <v>-242</v>
      </c>
      <c r="AI16" s="33"/>
      <c r="AJ16" s="33">
        <f>-14+-7</f>
        <v>-21</v>
      </c>
      <c r="AK16" s="34">
        <v>2000</v>
      </c>
      <c r="AL16" s="38">
        <f t="shared" si="0"/>
        <v>2444</v>
      </c>
    </row>
    <row r="17" spans="1:38" customFormat="1" ht="15" hidden="1" x14ac:dyDescent="0.25">
      <c r="A17" s="11" t="s">
        <v>31</v>
      </c>
      <c r="B17" s="31" t="s">
        <v>45</v>
      </c>
      <c r="C17" s="20" t="s">
        <v>46</v>
      </c>
      <c r="D17" s="11"/>
      <c r="E17" s="11"/>
      <c r="F17" s="36">
        <v>74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8">
        <f t="shared" si="0"/>
        <v>74</v>
      </c>
    </row>
    <row r="18" spans="1:38" customFormat="1" ht="15" hidden="1" x14ac:dyDescent="0.25">
      <c r="A18" s="11" t="s">
        <v>31</v>
      </c>
      <c r="B18" s="31" t="s">
        <v>47</v>
      </c>
      <c r="C18" s="20" t="s">
        <v>48</v>
      </c>
      <c r="D18" s="11"/>
      <c r="E18" s="11"/>
      <c r="F18" s="36">
        <v>100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8">
        <f t="shared" si="0"/>
        <v>100</v>
      </c>
    </row>
    <row r="19" spans="1:38" customFormat="1" ht="15" hidden="1" x14ac:dyDescent="0.25">
      <c r="A19" s="11" t="s">
        <v>31</v>
      </c>
      <c r="B19" s="31" t="s">
        <v>49</v>
      </c>
      <c r="C19" s="20" t="s">
        <v>50</v>
      </c>
      <c r="D19" s="11"/>
      <c r="E19" s="11"/>
      <c r="F19" s="36">
        <v>74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8">
        <f t="shared" si="0"/>
        <v>74</v>
      </c>
    </row>
    <row r="20" spans="1:38" customFormat="1" ht="15" hidden="1" x14ac:dyDescent="0.25">
      <c r="A20" s="11" t="s">
        <v>31</v>
      </c>
      <c r="B20" s="31" t="s">
        <v>51</v>
      </c>
      <c r="C20" s="20" t="s">
        <v>52</v>
      </c>
      <c r="D20" s="11"/>
      <c r="E20" s="11"/>
      <c r="F20" s="36">
        <v>210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8">
        <f t="shared" si="0"/>
        <v>210</v>
      </c>
    </row>
    <row r="21" spans="1:38" customFormat="1" ht="15" hidden="1" x14ac:dyDescent="0.25">
      <c r="A21" s="11" t="s">
        <v>31</v>
      </c>
      <c r="B21" s="31" t="s">
        <v>53</v>
      </c>
      <c r="C21" s="20" t="s">
        <v>54</v>
      </c>
      <c r="D21" s="11"/>
      <c r="E21" s="11"/>
      <c r="F21" s="36">
        <v>100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8">
        <f t="shared" si="0"/>
        <v>100</v>
      </c>
    </row>
    <row r="22" spans="1:38" customFormat="1" ht="15" hidden="1" x14ac:dyDescent="0.25">
      <c r="A22" s="11" t="s">
        <v>31</v>
      </c>
      <c r="B22" s="31" t="s">
        <v>55</v>
      </c>
      <c r="C22" s="20" t="s">
        <v>56</v>
      </c>
      <c r="D22" s="11"/>
      <c r="E22" s="11"/>
      <c r="F22" s="36">
        <v>132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8">
        <f t="shared" si="0"/>
        <v>132</v>
      </c>
    </row>
    <row r="23" spans="1:38" customFormat="1" ht="15" hidden="1" x14ac:dyDescent="0.25">
      <c r="A23" s="11" t="s">
        <v>31</v>
      </c>
      <c r="B23" s="31" t="s">
        <v>57</v>
      </c>
      <c r="C23" s="20" t="s">
        <v>58</v>
      </c>
      <c r="D23" s="11"/>
      <c r="E23" s="11"/>
      <c r="F23" s="36">
        <v>649</v>
      </c>
      <c r="G23" s="33"/>
      <c r="H23" s="33"/>
      <c r="I23" s="33"/>
      <c r="J23" s="33"/>
      <c r="K23" s="33"/>
      <c r="L23" s="33">
        <v>-207</v>
      </c>
      <c r="M23" s="33"/>
      <c r="N23" s="33"/>
      <c r="O23" s="33"/>
      <c r="P23" s="33"/>
      <c r="Q23" s="33"/>
      <c r="R23" s="33"/>
      <c r="S23" s="33">
        <v>-36</v>
      </c>
      <c r="T23" s="33"/>
      <c r="U23" s="33"/>
      <c r="V23" s="33"/>
      <c r="W23" s="33"/>
      <c r="X23" s="33"/>
      <c r="Y23" s="33"/>
      <c r="Z23" s="33"/>
      <c r="AA23" s="33"/>
      <c r="AB23" s="33">
        <v>-40</v>
      </c>
      <c r="AC23" s="33">
        <v>-60</v>
      </c>
      <c r="AD23" s="33"/>
      <c r="AE23" s="33"/>
      <c r="AF23" s="33"/>
      <c r="AG23" s="33"/>
      <c r="AH23" s="33">
        <v>-121</v>
      </c>
      <c r="AI23" s="33">
        <v>-108</v>
      </c>
      <c r="AJ23" s="33">
        <v>-14</v>
      </c>
      <c r="AK23" s="34">
        <v>2000</v>
      </c>
      <c r="AL23" s="38">
        <f t="shared" si="0"/>
        <v>2063</v>
      </c>
    </row>
    <row r="24" spans="1:38" customFormat="1" ht="15" hidden="1" x14ac:dyDescent="0.25">
      <c r="A24" s="11" t="s">
        <v>32</v>
      </c>
      <c r="B24" s="31" t="s">
        <v>59</v>
      </c>
      <c r="C24" s="20" t="s">
        <v>60</v>
      </c>
      <c r="D24" s="11"/>
      <c r="E24" s="11"/>
      <c r="F24" s="36">
        <v>93</v>
      </c>
      <c r="G24" s="33"/>
      <c r="H24" s="33"/>
      <c r="I24" s="33">
        <v>-1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>
        <v>-13</v>
      </c>
      <c r="W24" s="33">
        <f>-1+-1+-1</f>
        <v>-3</v>
      </c>
      <c r="X24" s="33"/>
      <c r="Y24" s="33"/>
      <c r="Z24" s="33"/>
      <c r="AA24" s="33">
        <v>-5</v>
      </c>
      <c r="AB24" s="33">
        <v>-1</v>
      </c>
      <c r="AC24" s="33">
        <v>-25</v>
      </c>
      <c r="AD24" s="33"/>
      <c r="AE24" s="33"/>
      <c r="AF24" s="33"/>
      <c r="AG24" s="33"/>
      <c r="AH24" s="33"/>
      <c r="AI24" s="33"/>
      <c r="AJ24" s="33"/>
      <c r="AK24" s="33"/>
      <c r="AL24" s="38">
        <f t="shared" si="0"/>
        <v>45</v>
      </c>
    </row>
    <row r="25" spans="1:38" customFormat="1" ht="15" hidden="1" x14ac:dyDescent="0.25">
      <c r="A25" s="11" t="s">
        <v>31</v>
      </c>
      <c r="B25" s="31" t="s">
        <v>61</v>
      </c>
      <c r="C25" s="20" t="s">
        <v>62</v>
      </c>
      <c r="D25" s="11"/>
      <c r="E25" s="11"/>
      <c r="F25" s="36">
        <v>100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8">
        <f t="shared" si="0"/>
        <v>100</v>
      </c>
    </row>
    <row r="26" spans="1:38" customFormat="1" ht="15" hidden="1" x14ac:dyDescent="0.25">
      <c r="A26" s="11" t="s">
        <v>31</v>
      </c>
      <c r="B26" s="31" t="s">
        <v>63</v>
      </c>
      <c r="C26" s="20" t="s">
        <v>64</v>
      </c>
      <c r="D26" s="11"/>
      <c r="E26" s="11"/>
      <c r="F26" s="36">
        <v>265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8">
        <f t="shared" si="0"/>
        <v>265</v>
      </c>
    </row>
    <row r="27" spans="1:38" customFormat="1" ht="15" hidden="1" x14ac:dyDescent="0.25">
      <c r="A27" s="11" t="s">
        <v>31</v>
      </c>
      <c r="B27" s="31" t="s">
        <v>65</v>
      </c>
      <c r="C27" s="20" t="s">
        <v>66</v>
      </c>
      <c r="D27" s="11"/>
      <c r="E27" s="11"/>
      <c r="F27" s="36">
        <v>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8">
        <f t="shared" si="0"/>
        <v>0</v>
      </c>
    </row>
    <row r="28" spans="1:38" customFormat="1" ht="15" hidden="1" x14ac:dyDescent="0.25">
      <c r="A28" s="11" t="s">
        <v>31</v>
      </c>
      <c r="B28" s="31" t="s">
        <v>67</v>
      </c>
      <c r="C28" s="20" t="s">
        <v>68</v>
      </c>
      <c r="D28" s="11"/>
      <c r="E28" s="11"/>
      <c r="F28" s="36">
        <v>78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8">
        <f t="shared" si="0"/>
        <v>78</v>
      </c>
    </row>
    <row r="29" spans="1:38" customFormat="1" ht="15" hidden="1" x14ac:dyDescent="0.25">
      <c r="A29" s="11" t="s">
        <v>31</v>
      </c>
      <c r="B29" s="31" t="s">
        <v>69</v>
      </c>
      <c r="C29" s="20" t="s">
        <v>70</v>
      </c>
      <c r="D29" s="11"/>
      <c r="E29" s="11"/>
      <c r="F29" s="36">
        <v>3648</v>
      </c>
      <c r="G29" s="33"/>
      <c r="H29" s="33"/>
      <c r="I29" s="33"/>
      <c r="J29" s="33"/>
      <c r="K29" s="33"/>
      <c r="L29" s="33">
        <v>-1173</v>
      </c>
      <c r="M29" s="33"/>
      <c r="N29" s="33"/>
      <c r="O29" s="33"/>
      <c r="P29" s="33"/>
      <c r="Q29" s="33"/>
      <c r="R29" s="33"/>
      <c r="S29" s="33">
        <v>-204</v>
      </c>
      <c r="T29" s="33"/>
      <c r="U29" s="33"/>
      <c r="V29" s="33"/>
      <c r="W29" s="33"/>
      <c r="X29" s="33"/>
      <c r="Y29" s="33"/>
      <c r="Z29" s="33"/>
      <c r="AA29" s="33"/>
      <c r="AB29" s="33">
        <v>-204</v>
      </c>
      <c r="AC29" s="33">
        <v>-340</v>
      </c>
      <c r="AD29" s="33"/>
      <c r="AE29" s="33"/>
      <c r="AF29" s="33"/>
      <c r="AG29" s="33"/>
      <c r="AH29" s="33"/>
      <c r="AI29" s="33"/>
      <c r="AJ29" s="33"/>
      <c r="AK29" s="33"/>
      <c r="AL29" s="38">
        <f t="shared" si="0"/>
        <v>1727</v>
      </c>
    </row>
    <row r="30" spans="1:38" customFormat="1" ht="15" hidden="1" x14ac:dyDescent="0.25">
      <c r="A30" s="11" t="s">
        <v>31</v>
      </c>
      <c r="B30" s="31" t="s">
        <v>71</v>
      </c>
      <c r="C30" s="20" t="s">
        <v>72</v>
      </c>
      <c r="D30" s="11"/>
      <c r="E30" s="11"/>
      <c r="F30" s="36">
        <v>745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8">
        <f t="shared" si="0"/>
        <v>745</v>
      </c>
    </row>
    <row r="31" spans="1:38" customFormat="1" ht="15" hidden="1" x14ac:dyDescent="0.25">
      <c r="A31" s="11" t="s">
        <v>31</v>
      </c>
      <c r="B31" s="31" t="s">
        <v>73</v>
      </c>
      <c r="C31" s="20" t="s">
        <v>74</v>
      </c>
      <c r="D31" s="11"/>
      <c r="E31" s="11"/>
      <c r="F31" s="36">
        <v>65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8">
        <f t="shared" si="0"/>
        <v>65</v>
      </c>
    </row>
    <row r="32" spans="1:38" customFormat="1" ht="15" hidden="1" x14ac:dyDescent="0.25">
      <c r="A32" s="11" t="s">
        <v>31</v>
      </c>
      <c r="B32" s="31" t="s">
        <v>75</v>
      </c>
      <c r="C32" s="20" t="s">
        <v>76</v>
      </c>
      <c r="D32" s="11"/>
      <c r="E32" s="11"/>
      <c r="F32" s="36">
        <v>198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8">
        <f t="shared" si="0"/>
        <v>198</v>
      </c>
    </row>
    <row r="33" spans="1:38" customFormat="1" ht="15" hidden="1" x14ac:dyDescent="0.25">
      <c r="A33" s="11" t="s">
        <v>31</v>
      </c>
      <c r="B33" s="31" t="s">
        <v>77</v>
      </c>
      <c r="C33" s="20" t="s">
        <v>78</v>
      </c>
      <c r="D33" s="11"/>
      <c r="E33" s="11"/>
      <c r="F33" s="36">
        <v>87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8">
        <f t="shared" si="0"/>
        <v>87</v>
      </c>
    </row>
    <row r="34" spans="1:38" customFormat="1" ht="15" hidden="1" x14ac:dyDescent="0.25">
      <c r="A34" s="11" t="s">
        <v>31</v>
      </c>
      <c r="B34" s="31" t="s">
        <v>79</v>
      </c>
      <c r="C34" s="20" t="s">
        <v>80</v>
      </c>
      <c r="D34" s="11"/>
      <c r="E34" s="11"/>
      <c r="F34" s="36">
        <v>40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8">
        <f t="shared" si="0"/>
        <v>40</v>
      </c>
    </row>
    <row r="35" spans="1:38" customFormat="1" ht="15" hidden="1" x14ac:dyDescent="0.25">
      <c r="A35" s="11" t="s">
        <v>31</v>
      </c>
      <c r="B35" s="31" t="s">
        <v>81</v>
      </c>
      <c r="C35" s="20" t="s">
        <v>82</v>
      </c>
      <c r="D35" s="11"/>
      <c r="E35" s="11"/>
      <c r="F35" s="36">
        <v>314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>
        <v>-6</v>
      </c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8">
        <f t="shared" si="0"/>
        <v>308</v>
      </c>
    </row>
    <row r="36" spans="1:38" customFormat="1" ht="15" hidden="1" x14ac:dyDescent="0.25">
      <c r="A36" s="11" t="s">
        <v>31</v>
      </c>
      <c r="B36" s="31" t="s">
        <v>83</v>
      </c>
      <c r="C36" s="20" t="s">
        <v>84</v>
      </c>
      <c r="D36" s="11"/>
      <c r="E36" s="11"/>
      <c r="F36" s="36">
        <v>330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8">
        <f t="shared" si="0"/>
        <v>330</v>
      </c>
    </row>
    <row r="37" spans="1:38" customFormat="1" ht="15" hidden="1" x14ac:dyDescent="0.25">
      <c r="A37" s="11" t="s">
        <v>31</v>
      </c>
      <c r="B37" s="31" t="s">
        <v>85</v>
      </c>
      <c r="C37" s="20" t="s">
        <v>86</v>
      </c>
      <c r="D37" s="11"/>
      <c r="E37" s="11"/>
      <c r="F37" s="36">
        <v>631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>
        <v>-6</v>
      </c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>
        <v>-242</v>
      </c>
      <c r="AI37" s="33"/>
      <c r="AJ37" s="33">
        <v>-7</v>
      </c>
      <c r="AK37" s="34">
        <v>1000</v>
      </c>
      <c r="AL37" s="38">
        <f t="shared" si="0"/>
        <v>1376</v>
      </c>
    </row>
    <row r="38" spans="1:38" customFormat="1" ht="15" hidden="1" x14ac:dyDescent="0.25">
      <c r="A38" s="11" t="s">
        <v>31</v>
      </c>
      <c r="B38" s="31" t="s">
        <v>87</v>
      </c>
      <c r="C38" s="20" t="s">
        <v>88</v>
      </c>
      <c r="D38" s="11"/>
      <c r="E38" s="11"/>
      <c r="F38" s="36">
        <v>299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8">
        <f t="shared" si="0"/>
        <v>299</v>
      </c>
    </row>
    <row r="39" spans="1:38" customFormat="1" ht="15" hidden="1" x14ac:dyDescent="0.25">
      <c r="A39" s="11" t="s">
        <v>31</v>
      </c>
      <c r="B39" s="31" t="s">
        <v>89</v>
      </c>
      <c r="C39" s="20" t="s">
        <v>90</v>
      </c>
      <c r="D39" s="11"/>
      <c r="E39" s="11"/>
      <c r="F39" s="36">
        <v>165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8">
        <f t="shared" si="0"/>
        <v>165</v>
      </c>
    </row>
    <row r="40" spans="1:38" customFormat="1" ht="15" hidden="1" x14ac:dyDescent="0.25">
      <c r="A40" s="11" t="s">
        <v>31</v>
      </c>
      <c r="B40" s="31" t="s">
        <v>91</v>
      </c>
      <c r="C40" s="20" t="s">
        <v>92</v>
      </c>
      <c r="D40" s="11"/>
      <c r="E40" s="11"/>
      <c r="F40" s="36">
        <v>289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8">
        <f t="shared" si="0"/>
        <v>289</v>
      </c>
    </row>
    <row r="41" spans="1:38" customFormat="1" ht="15" hidden="1" x14ac:dyDescent="0.25">
      <c r="A41" s="11" t="s">
        <v>31</v>
      </c>
      <c r="B41" s="31" t="s">
        <v>93</v>
      </c>
      <c r="C41" s="20" t="s">
        <v>94</v>
      </c>
      <c r="D41" s="11"/>
      <c r="E41" s="11"/>
      <c r="F41" s="36">
        <v>1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8">
        <f t="shared" si="0"/>
        <v>1</v>
      </c>
    </row>
    <row r="42" spans="1:38" customFormat="1" ht="15" hidden="1" x14ac:dyDescent="0.25">
      <c r="A42" s="11" t="s">
        <v>31</v>
      </c>
      <c r="B42" s="31" t="s">
        <v>95</v>
      </c>
      <c r="C42" s="20" t="s">
        <v>96</v>
      </c>
      <c r="D42" s="11"/>
      <c r="E42" s="11"/>
      <c r="F42" s="36">
        <v>356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8">
        <f t="shared" si="0"/>
        <v>356</v>
      </c>
    </row>
    <row r="43" spans="1:38" customFormat="1" ht="15" hidden="1" x14ac:dyDescent="0.25">
      <c r="A43" s="11" t="s">
        <v>31</v>
      </c>
      <c r="B43" s="31" t="s">
        <v>97</v>
      </c>
      <c r="C43" s="20" t="s">
        <v>98</v>
      </c>
      <c r="D43" s="11"/>
      <c r="E43" s="11"/>
      <c r="F43" s="36">
        <v>1901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8">
        <f t="shared" si="0"/>
        <v>1901</v>
      </c>
    </row>
    <row r="44" spans="1:38" customFormat="1" ht="15" hidden="1" x14ac:dyDescent="0.25">
      <c r="A44" s="11" t="s">
        <v>31</v>
      </c>
      <c r="B44" s="31" t="s">
        <v>99</v>
      </c>
      <c r="C44" s="20" t="s">
        <v>100</v>
      </c>
      <c r="D44" s="11"/>
      <c r="E44" s="11"/>
      <c r="F44" s="36">
        <v>1954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8">
        <f t="shared" si="0"/>
        <v>1954</v>
      </c>
    </row>
    <row r="45" spans="1:38" customFormat="1" ht="15" hidden="1" x14ac:dyDescent="0.25">
      <c r="A45" s="11" t="s">
        <v>31</v>
      </c>
      <c r="B45" s="31" t="s">
        <v>101</v>
      </c>
      <c r="C45" s="20" t="s">
        <v>102</v>
      </c>
      <c r="D45" s="11"/>
      <c r="E45" s="11"/>
      <c r="F45" s="36">
        <v>92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8">
        <f t="shared" si="0"/>
        <v>92</v>
      </c>
    </row>
    <row r="46" spans="1:38" customFormat="1" ht="15" hidden="1" x14ac:dyDescent="0.25">
      <c r="A46" s="11" t="s">
        <v>31</v>
      </c>
      <c r="B46" s="31" t="s">
        <v>103</v>
      </c>
      <c r="C46" s="20" t="s">
        <v>104</v>
      </c>
      <c r="D46" s="11"/>
      <c r="E46" s="11"/>
      <c r="F46" s="36">
        <v>2600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8">
        <f t="shared" si="0"/>
        <v>2600</v>
      </c>
    </row>
    <row r="47" spans="1:38" customFormat="1" ht="15" hidden="1" x14ac:dyDescent="0.25">
      <c r="A47" s="11" t="s">
        <v>31</v>
      </c>
      <c r="B47" s="31" t="s">
        <v>105</v>
      </c>
      <c r="C47" s="20" t="s">
        <v>106</v>
      </c>
      <c r="D47" s="11"/>
      <c r="E47" s="11"/>
      <c r="F47" s="36">
        <v>694</v>
      </c>
      <c r="G47" s="33"/>
      <c r="H47" s="33"/>
      <c r="I47" s="33"/>
      <c r="J47" s="33"/>
      <c r="K47" s="33"/>
      <c r="L47" s="33">
        <v>-10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8">
        <f t="shared" si="0"/>
        <v>684</v>
      </c>
    </row>
    <row r="48" spans="1:38" customFormat="1" ht="15" hidden="1" x14ac:dyDescent="0.25">
      <c r="A48" s="11" t="s">
        <v>31</v>
      </c>
      <c r="B48" s="31" t="s">
        <v>107</v>
      </c>
      <c r="C48" s="20" t="s">
        <v>108</v>
      </c>
      <c r="D48" s="11"/>
      <c r="E48" s="11"/>
      <c r="F48" s="36">
        <v>4299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8">
        <f t="shared" si="0"/>
        <v>4299</v>
      </c>
    </row>
    <row r="49" spans="1:38" customFormat="1" ht="15" hidden="1" x14ac:dyDescent="0.25">
      <c r="A49" s="11" t="s">
        <v>210</v>
      </c>
      <c r="B49" s="31" t="s">
        <v>95</v>
      </c>
      <c r="C49" s="20" t="s">
        <v>109</v>
      </c>
      <c r="D49" s="11"/>
      <c r="E49" s="11"/>
      <c r="F49" s="36">
        <v>20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8">
        <f t="shared" si="0"/>
        <v>20</v>
      </c>
    </row>
    <row r="50" spans="1:38" customFormat="1" ht="15" hidden="1" x14ac:dyDescent="0.25">
      <c r="A50" s="11" t="s">
        <v>210</v>
      </c>
      <c r="B50" s="31" t="s">
        <v>97</v>
      </c>
      <c r="C50" s="20" t="s">
        <v>110</v>
      </c>
      <c r="D50" s="11"/>
      <c r="E50" s="11"/>
      <c r="F50" s="36">
        <v>20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8">
        <f t="shared" si="0"/>
        <v>20</v>
      </c>
    </row>
    <row r="51" spans="1:38" customFormat="1" ht="15" hidden="1" x14ac:dyDescent="0.25">
      <c r="A51" s="11" t="s">
        <v>31</v>
      </c>
      <c r="B51" s="31" t="s">
        <v>111</v>
      </c>
      <c r="C51" s="20" t="s">
        <v>112</v>
      </c>
      <c r="D51" s="11"/>
      <c r="E51" s="11"/>
      <c r="F51" s="36">
        <v>1446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8">
        <f t="shared" si="0"/>
        <v>1446</v>
      </c>
    </row>
    <row r="52" spans="1:38" customFormat="1" ht="15" hidden="1" x14ac:dyDescent="0.25">
      <c r="A52" s="11" t="s">
        <v>31</v>
      </c>
      <c r="B52" s="31" t="s">
        <v>113</v>
      </c>
      <c r="C52" s="20" t="s">
        <v>114</v>
      </c>
      <c r="D52" s="11"/>
      <c r="E52" s="11"/>
      <c r="F52" s="36">
        <v>734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8">
        <f t="shared" si="0"/>
        <v>734</v>
      </c>
    </row>
    <row r="53" spans="1:38" customFormat="1" ht="15" hidden="1" x14ac:dyDescent="0.25">
      <c r="A53" s="11" t="s">
        <v>211</v>
      </c>
      <c r="B53" s="31" t="s">
        <v>115</v>
      </c>
      <c r="C53" s="20" t="s">
        <v>116</v>
      </c>
      <c r="D53" s="11"/>
      <c r="E53" s="11"/>
      <c r="F53" s="36">
        <v>711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8">
        <f t="shared" si="0"/>
        <v>711</v>
      </c>
    </row>
    <row r="54" spans="1:38" customFormat="1" ht="15" hidden="1" x14ac:dyDescent="0.25">
      <c r="A54" s="11" t="s">
        <v>31</v>
      </c>
      <c r="B54" s="31" t="s">
        <v>117</v>
      </c>
      <c r="C54" s="20" t="s">
        <v>118</v>
      </c>
      <c r="D54" s="11"/>
      <c r="E54" s="11"/>
      <c r="F54" s="36">
        <v>569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8">
        <f t="shared" si="0"/>
        <v>569</v>
      </c>
    </row>
    <row r="55" spans="1:38" customFormat="1" ht="15" hidden="1" x14ac:dyDescent="0.25">
      <c r="A55" s="11" t="s">
        <v>31</v>
      </c>
      <c r="B55" s="31" t="s">
        <v>119</v>
      </c>
      <c r="C55" s="20" t="s">
        <v>120</v>
      </c>
      <c r="D55" s="11"/>
      <c r="E55" s="11"/>
      <c r="F55" s="36">
        <v>1113</v>
      </c>
      <c r="G55" s="33"/>
      <c r="H55" s="33">
        <v>-24</v>
      </c>
      <c r="I55" s="33"/>
      <c r="J55" s="33"/>
      <c r="K55" s="33">
        <v>-138</v>
      </c>
      <c r="L55" s="33"/>
      <c r="M55" s="33"/>
      <c r="N55" s="33">
        <v>-74</v>
      </c>
      <c r="O55" s="33"/>
      <c r="P55" s="33"/>
      <c r="Q55" s="33"/>
      <c r="R55" s="33"/>
      <c r="S55" s="33">
        <f>-24+-24</f>
        <v>-48</v>
      </c>
      <c r="T55" s="33"/>
      <c r="U55" s="33"/>
      <c r="V55" s="33">
        <v>-28</v>
      </c>
      <c r="W55" s="33"/>
      <c r="X55" s="33"/>
      <c r="Y55" s="33"/>
      <c r="Z55" s="33"/>
      <c r="AA55" s="33"/>
      <c r="AB55" s="33">
        <f>-26+-24</f>
        <v>-50</v>
      </c>
      <c r="AC55" s="33">
        <f>-40+-40</f>
        <v>-80</v>
      </c>
      <c r="AD55" s="33"/>
      <c r="AE55" s="33"/>
      <c r="AF55" s="33"/>
      <c r="AG55" s="33"/>
      <c r="AH55" s="33"/>
      <c r="AI55" s="33"/>
      <c r="AJ55" s="33">
        <v>-14</v>
      </c>
      <c r="AK55" s="33"/>
      <c r="AL55" s="38">
        <f t="shared" si="0"/>
        <v>657</v>
      </c>
    </row>
    <row r="56" spans="1:38" customFormat="1" ht="15" hidden="1" x14ac:dyDescent="0.25">
      <c r="A56" s="11" t="s">
        <v>211</v>
      </c>
      <c r="B56" s="31" t="s">
        <v>121</v>
      </c>
      <c r="C56" s="20" t="s">
        <v>122</v>
      </c>
      <c r="D56" s="11"/>
      <c r="E56" s="11"/>
      <c r="F56" s="36">
        <v>210</v>
      </c>
      <c r="G56" s="33"/>
      <c r="H56" s="33"/>
      <c r="I56" s="33">
        <v>-2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>
        <v>-26</v>
      </c>
      <c r="W56" s="33">
        <f>-2+-2+-2</f>
        <v>-6</v>
      </c>
      <c r="X56" s="33"/>
      <c r="Y56" s="33"/>
      <c r="Z56" s="33"/>
      <c r="AA56" s="33">
        <v>-10</v>
      </c>
      <c r="AB56" s="33">
        <v>-2</v>
      </c>
      <c r="AC56" s="33">
        <v>-50</v>
      </c>
      <c r="AD56" s="33"/>
      <c r="AE56" s="33"/>
      <c r="AF56" s="33"/>
      <c r="AG56" s="33"/>
      <c r="AH56" s="33">
        <v>-113</v>
      </c>
      <c r="AI56" s="33"/>
      <c r="AJ56" s="33"/>
      <c r="AK56" s="34">
        <v>1200</v>
      </c>
      <c r="AL56" s="38">
        <f t="shared" si="0"/>
        <v>1201</v>
      </c>
    </row>
    <row r="57" spans="1:38" customFormat="1" ht="15" hidden="1" x14ac:dyDescent="0.25">
      <c r="A57" s="11" t="s">
        <v>31</v>
      </c>
      <c r="B57" s="31" t="s">
        <v>123</v>
      </c>
      <c r="C57" s="20" t="s">
        <v>124</v>
      </c>
      <c r="D57" s="11"/>
      <c r="E57" s="11"/>
      <c r="F57" s="36">
        <v>554</v>
      </c>
      <c r="G57" s="33"/>
      <c r="H57" s="33">
        <v>-12</v>
      </c>
      <c r="I57" s="33"/>
      <c r="J57" s="33"/>
      <c r="K57" s="33">
        <v>-69</v>
      </c>
      <c r="L57" s="33"/>
      <c r="M57" s="33"/>
      <c r="N57" s="33">
        <v>-37</v>
      </c>
      <c r="O57" s="33">
        <v>-2</v>
      </c>
      <c r="P57" s="33"/>
      <c r="Q57" s="33"/>
      <c r="R57" s="33"/>
      <c r="S57" s="33">
        <f>-12+-12</f>
        <v>-24</v>
      </c>
      <c r="T57" s="33"/>
      <c r="U57" s="33"/>
      <c r="V57" s="33">
        <v>-14</v>
      </c>
      <c r="W57" s="33"/>
      <c r="X57" s="33"/>
      <c r="Y57" s="33"/>
      <c r="Z57" s="33"/>
      <c r="AA57" s="33"/>
      <c r="AB57" s="33">
        <f>-13+-12</f>
        <v>-25</v>
      </c>
      <c r="AC57" s="33">
        <f>-20+-20</f>
        <v>-40</v>
      </c>
      <c r="AD57" s="33"/>
      <c r="AE57" s="33"/>
      <c r="AF57" s="33"/>
      <c r="AG57" s="33"/>
      <c r="AH57" s="33"/>
      <c r="AI57" s="33"/>
      <c r="AJ57" s="33">
        <v>-7</v>
      </c>
      <c r="AK57" s="34">
        <v>100</v>
      </c>
      <c r="AL57" s="38">
        <f t="shared" si="0"/>
        <v>424</v>
      </c>
    </row>
    <row r="58" spans="1:38" customFormat="1" ht="15" hidden="1" x14ac:dyDescent="0.25">
      <c r="A58" s="11" t="s">
        <v>211</v>
      </c>
      <c r="B58" s="31" t="s">
        <v>125</v>
      </c>
      <c r="C58" s="20" t="s">
        <v>126</v>
      </c>
      <c r="D58" s="11"/>
      <c r="E58" s="11"/>
      <c r="F58" s="36">
        <v>385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>
        <v>-121</v>
      </c>
      <c r="AI58" s="33"/>
      <c r="AJ58" s="33">
        <v>-7</v>
      </c>
      <c r="AK58" s="34">
        <v>200</v>
      </c>
      <c r="AL58" s="38">
        <f t="shared" si="0"/>
        <v>457</v>
      </c>
    </row>
    <row r="59" spans="1:38" customFormat="1" ht="15" hidden="1" x14ac:dyDescent="0.25">
      <c r="A59" s="11" t="s">
        <v>31</v>
      </c>
      <c r="B59" s="31" t="s">
        <v>127</v>
      </c>
      <c r="C59" s="20" t="s">
        <v>128</v>
      </c>
      <c r="D59" s="11"/>
      <c r="E59" s="11"/>
      <c r="F59" s="36">
        <v>0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8">
        <f t="shared" si="0"/>
        <v>0</v>
      </c>
    </row>
    <row r="60" spans="1:38" customFormat="1" ht="15" hidden="1" x14ac:dyDescent="0.25">
      <c r="A60" s="11" t="s">
        <v>31</v>
      </c>
      <c r="B60" s="31" t="s">
        <v>129</v>
      </c>
      <c r="C60" s="20" t="s">
        <v>130</v>
      </c>
      <c r="D60" s="11"/>
      <c r="E60" s="11"/>
      <c r="F60" s="36">
        <v>0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8">
        <f t="shared" si="0"/>
        <v>0</v>
      </c>
    </row>
    <row r="61" spans="1:38" customFormat="1" ht="15" hidden="1" x14ac:dyDescent="0.25">
      <c r="A61" s="11" t="s">
        <v>31</v>
      </c>
      <c r="B61" s="31" t="s">
        <v>131</v>
      </c>
      <c r="C61" s="20" t="s">
        <v>132</v>
      </c>
      <c r="D61" s="11"/>
      <c r="E61" s="11"/>
      <c r="F61" s="36">
        <v>453</v>
      </c>
      <c r="G61" s="33"/>
      <c r="H61" s="33"/>
      <c r="I61" s="33"/>
      <c r="J61" s="33"/>
      <c r="K61" s="33"/>
      <c r="L61" s="33">
        <v>-100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>
        <v>-40</v>
      </c>
      <c r="AK61" s="33"/>
      <c r="AL61" s="38">
        <f t="shared" si="0"/>
        <v>313</v>
      </c>
    </row>
    <row r="62" spans="1:38" customFormat="1" ht="15" hidden="1" x14ac:dyDescent="0.25">
      <c r="A62" s="11" t="s">
        <v>211</v>
      </c>
      <c r="B62" s="31" t="s">
        <v>133</v>
      </c>
      <c r="C62" s="20" t="s">
        <v>134</v>
      </c>
      <c r="D62" s="11"/>
      <c r="E62" s="11"/>
      <c r="F62" s="36">
        <v>8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8">
        <f t="shared" si="0"/>
        <v>8</v>
      </c>
    </row>
    <row r="63" spans="1:38" customFormat="1" ht="15" hidden="1" x14ac:dyDescent="0.25">
      <c r="A63" s="11"/>
      <c r="B63" s="31" t="s">
        <v>135</v>
      </c>
      <c r="C63" s="20" t="s">
        <v>136</v>
      </c>
      <c r="D63" s="11"/>
      <c r="E63" s="11"/>
      <c r="F63" s="36">
        <v>0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8">
        <f t="shared" si="0"/>
        <v>0</v>
      </c>
    </row>
    <row r="64" spans="1:38" customFormat="1" ht="15" hidden="1" x14ac:dyDescent="0.25">
      <c r="A64" s="11"/>
      <c r="B64" s="31" t="s">
        <v>137</v>
      </c>
      <c r="C64" s="20" t="s">
        <v>138</v>
      </c>
      <c r="D64" s="11"/>
      <c r="E64" s="11"/>
      <c r="F64" s="36">
        <v>19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8">
        <f t="shared" si="0"/>
        <v>19</v>
      </c>
    </row>
    <row r="65" spans="1:38" customFormat="1" ht="15" hidden="1" x14ac:dyDescent="0.25">
      <c r="A65" s="11" t="s">
        <v>31</v>
      </c>
      <c r="B65" s="31" t="s">
        <v>139</v>
      </c>
      <c r="C65" s="20" t="s">
        <v>140</v>
      </c>
      <c r="D65" s="11"/>
      <c r="E65" s="11"/>
      <c r="F65" s="36">
        <v>550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8">
        <f t="shared" si="0"/>
        <v>550</v>
      </c>
    </row>
    <row r="66" spans="1:38" customFormat="1" ht="15" hidden="1" x14ac:dyDescent="0.25">
      <c r="A66" s="11" t="s">
        <v>31</v>
      </c>
      <c r="B66" s="31" t="s">
        <v>141</v>
      </c>
      <c r="C66" s="20" t="s">
        <v>142</v>
      </c>
      <c r="D66" s="11"/>
      <c r="E66" s="11"/>
      <c r="F66" s="36">
        <v>1235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8">
        <f t="shared" si="0"/>
        <v>1235</v>
      </c>
    </row>
    <row r="67" spans="1:38" customFormat="1" ht="15" hidden="1" x14ac:dyDescent="0.25">
      <c r="A67" s="11" t="s">
        <v>31</v>
      </c>
      <c r="B67" s="31" t="s">
        <v>143</v>
      </c>
      <c r="C67" s="20" t="s">
        <v>144</v>
      </c>
      <c r="D67" s="11"/>
      <c r="E67" s="11"/>
      <c r="F67" s="36">
        <v>405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8">
        <f t="shared" si="0"/>
        <v>405</v>
      </c>
    </row>
    <row r="68" spans="1:38" customFormat="1" ht="15" hidden="1" x14ac:dyDescent="0.25">
      <c r="A68" s="11" t="s">
        <v>31</v>
      </c>
      <c r="B68" s="31" t="s">
        <v>145</v>
      </c>
      <c r="C68" s="20" t="s">
        <v>146</v>
      </c>
      <c r="D68" s="11"/>
      <c r="E68" s="11"/>
      <c r="F68" s="36">
        <v>43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8">
        <f t="shared" si="0"/>
        <v>43</v>
      </c>
    </row>
    <row r="69" spans="1:38" customFormat="1" ht="15" hidden="1" x14ac:dyDescent="0.25">
      <c r="A69" s="11" t="s">
        <v>31</v>
      </c>
      <c r="B69" s="31" t="s">
        <v>147</v>
      </c>
      <c r="C69" s="20" t="s">
        <v>148</v>
      </c>
      <c r="D69" s="11"/>
      <c r="E69" s="11"/>
      <c r="F69" s="36">
        <v>67</v>
      </c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8">
        <f t="shared" si="0"/>
        <v>67</v>
      </c>
    </row>
    <row r="70" spans="1:38" customFormat="1" ht="15" hidden="1" x14ac:dyDescent="0.25">
      <c r="A70" s="11" t="s">
        <v>31</v>
      </c>
      <c r="B70" s="31" t="s">
        <v>149</v>
      </c>
      <c r="C70" s="20" t="s">
        <v>150</v>
      </c>
      <c r="D70" s="11"/>
      <c r="E70" s="11"/>
      <c r="F70" s="37">
        <v>1047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8">
        <f t="shared" si="0"/>
        <v>1047</v>
      </c>
    </row>
    <row r="71" spans="1:38" customFormat="1" ht="15" hidden="1" x14ac:dyDescent="0.25">
      <c r="A71" s="11" t="s">
        <v>211</v>
      </c>
      <c r="B71" s="31" t="s">
        <v>151</v>
      </c>
      <c r="C71" s="20" t="s">
        <v>152</v>
      </c>
      <c r="D71" s="11"/>
      <c r="E71" s="11"/>
      <c r="F71" s="36">
        <v>764</v>
      </c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8">
        <f t="shared" si="0"/>
        <v>764</v>
      </c>
    </row>
    <row r="72" spans="1:38" customFormat="1" ht="15" hidden="1" x14ac:dyDescent="0.25">
      <c r="A72" s="11" t="s">
        <v>211</v>
      </c>
      <c r="B72" s="31" t="s">
        <v>153</v>
      </c>
      <c r="C72" s="20" t="s">
        <v>154</v>
      </c>
      <c r="D72" s="11"/>
      <c r="E72" s="11"/>
      <c r="F72" s="36">
        <v>1213</v>
      </c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8">
        <f t="shared" si="0"/>
        <v>1213</v>
      </c>
    </row>
    <row r="73" spans="1:38" customFormat="1" ht="15" hidden="1" x14ac:dyDescent="0.25">
      <c r="A73" s="11" t="s">
        <v>211</v>
      </c>
      <c r="B73" s="31" t="s">
        <v>155</v>
      </c>
      <c r="C73" s="20" t="s">
        <v>156</v>
      </c>
      <c r="D73" s="11"/>
      <c r="E73" s="11"/>
      <c r="F73" s="36">
        <v>667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8">
        <f t="shared" si="0"/>
        <v>667</v>
      </c>
    </row>
    <row r="74" spans="1:38" customFormat="1" ht="15" hidden="1" x14ac:dyDescent="0.25">
      <c r="A74" s="11" t="s">
        <v>211</v>
      </c>
      <c r="B74" s="31" t="s">
        <v>157</v>
      </c>
      <c r="C74" s="20" t="s">
        <v>158</v>
      </c>
      <c r="D74" s="11"/>
      <c r="E74" s="11"/>
      <c r="F74" s="36">
        <v>283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8">
        <f t="shared" si="0"/>
        <v>283</v>
      </c>
    </row>
    <row r="75" spans="1:38" customFormat="1" ht="15" hidden="1" x14ac:dyDescent="0.25">
      <c r="A75" s="11"/>
      <c r="B75" s="31" t="s">
        <v>159</v>
      </c>
      <c r="C75" s="20" t="s">
        <v>160</v>
      </c>
      <c r="D75" s="11"/>
      <c r="E75" s="11"/>
      <c r="F75" s="36">
        <v>100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8">
        <f t="shared" si="0"/>
        <v>100</v>
      </c>
    </row>
    <row r="76" spans="1:38" customFormat="1" ht="15" hidden="1" x14ac:dyDescent="0.25">
      <c r="A76" s="11" t="s">
        <v>211</v>
      </c>
      <c r="B76" s="31" t="s">
        <v>161</v>
      </c>
      <c r="C76" s="20" t="s">
        <v>162</v>
      </c>
      <c r="D76" s="11"/>
      <c r="E76" s="11"/>
      <c r="F76" s="36">
        <v>168</v>
      </c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8">
        <f t="shared" ref="AL76:AL103" si="1">F76+SUM(G76:AK76)</f>
        <v>168</v>
      </c>
    </row>
    <row r="77" spans="1:38" customFormat="1" ht="15" hidden="1" x14ac:dyDescent="0.25">
      <c r="A77" s="11" t="s">
        <v>211</v>
      </c>
      <c r="B77" s="31" t="s">
        <v>163</v>
      </c>
      <c r="C77" s="20" t="s">
        <v>164</v>
      </c>
      <c r="D77" s="11"/>
      <c r="E77" s="11"/>
      <c r="F77" s="36">
        <v>596</v>
      </c>
      <c r="G77" s="33"/>
      <c r="H77" s="33">
        <v>-12</v>
      </c>
      <c r="I77" s="33"/>
      <c r="J77" s="33"/>
      <c r="K77" s="33"/>
      <c r="L77" s="33">
        <v>-69</v>
      </c>
      <c r="M77" s="33"/>
      <c r="N77" s="33">
        <v>-37</v>
      </c>
      <c r="O77" s="33"/>
      <c r="P77" s="33"/>
      <c r="Q77" s="33"/>
      <c r="R77" s="33"/>
      <c r="S77" s="33">
        <f>-12+-12</f>
        <v>-24</v>
      </c>
      <c r="T77" s="33"/>
      <c r="U77" s="33"/>
      <c r="V77" s="33">
        <v>-14</v>
      </c>
      <c r="W77" s="33"/>
      <c r="X77" s="33"/>
      <c r="Y77" s="33"/>
      <c r="Z77" s="33"/>
      <c r="AA77" s="33"/>
      <c r="AB77" s="33">
        <f>-13+-12</f>
        <v>-25</v>
      </c>
      <c r="AC77" s="33">
        <f>-20+-20</f>
        <v>-40</v>
      </c>
      <c r="AD77" s="33"/>
      <c r="AE77" s="33"/>
      <c r="AF77" s="33"/>
      <c r="AG77" s="33"/>
      <c r="AH77" s="33">
        <v>-121</v>
      </c>
      <c r="AI77" s="33"/>
      <c r="AJ77" s="33">
        <f>-7+-7</f>
        <v>-14</v>
      </c>
      <c r="AK77" s="34">
        <v>500</v>
      </c>
      <c r="AL77" s="38">
        <f t="shared" si="1"/>
        <v>740</v>
      </c>
    </row>
    <row r="78" spans="1:38" customFormat="1" ht="15" hidden="1" x14ac:dyDescent="0.25">
      <c r="A78" s="11" t="s">
        <v>211</v>
      </c>
      <c r="B78" s="31" t="s">
        <v>165</v>
      </c>
      <c r="C78" s="20" t="s">
        <v>166</v>
      </c>
      <c r="D78" s="11"/>
      <c r="E78" s="11"/>
      <c r="F78" s="36">
        <v>1437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8">
        <f t="shared" si="1"/>
        <v>1437</v>
      </c>
    </row>
    <row r="79" spans="1:38" customFormat="1" ht="15" hidden="1" x14ac:dyDescent="0.25">
      <c r="A79" s="11" t="s">
        <v>211</v>
      </c>
      <c r="B79" s="31" t="s">
        <v>167</v>
      </c>
      <c r="C79" s="20" t="s">
        <v>168</v>
      </c>
      <c r="D79" s="11"/>
      <c r="E79" s="11"/>
      <c r="F79" s="36">
        <v>16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8">
        <f t="shared" si="1"/>
        <v>16</v>
      </c>
    </row>
    <row r="80" spans="1:38" customFormat="1" ht="15" hidden="1" x14ac:dyDescent="0.25">
      <c r="A80" s="11" t="s">
        <v>210</v>
      </c>
      <c r="B80" s="31" t="s">
        <v>169</v>
      </c>
      <c r="C80" s="20" t="s">
        <v>170</v>
      </c>
      <c r="D80" s="11"/>
      <c r="E80" s="11"/>
      <c r="F80" s="36">
        <v>419</v>
      </c>
      <c r="G80" s="33"/>
      <c r="H80" s="33"/>
      <c r="I80" s="33"/>
      <c r="J80" s="33"/>
      <c r="K80" s="33"/>
      <c r="L80" s="33">
        <v>-138</v>
      </c>
      <c r="M80" s="33"/>
      <c r="N80" s="33"/>
      <c r="O80" s="33"/>
      <c r="P80" s="33"/>
      <c r="Q80" s="33"/>
      <c r="R80" s="33"/>
      <c r="S80" s="33">
        <v>-24</v>
      </c>
      <c r="T80" s="33"/>
      <c r="U80" s="33"/>
      <c r="V80" s="33"/>
      <c r="W80" s="33"/>
      <c r="X80" s="33"/>
      <c r="Y80" s="33"/>
      <c r="Z80" s="33"/>
      <c r="AA80" s="33"/>
      <c r="AB80" s="33">
        <v>-24</v>
      </c>
      <c r="AC80" s="33">
        <v>-40</v>
      </c>
      <c r="AD80" s="33"/>
      <c r="AE80" s="33"/>
      <c r="AF80" s="33"/>
      <c r="AG80" s="33"/>
      <c r="AH80" s="33"/>
      <c r="AI80" s="33"/>
      <c r="AJ80" s="33"/>
      <c r="AK80" s="34">
        <v>500</v>
      </c>
      <c r="AL80" s="38">
        <f t="shared" si="1"/>
        <v>693</v>
      </c>
    </row>
    <row r="81" spans="1:38" customFormat="1" ht="15" hidden="1" x14ac:dyDescent="0.25">
      <c r="A81" s="11" t="s">
        <v>210</v>
      </c>
      <c r="B81" s="31" t="s">
        <v>171</v>
      </c>
      <c r="C81" s="20" t="s">
        <v>172</v>
      </c>
      <c r="D81" s="11"/>
      <c r="E81" s="11"/>
      <c r="F81" s="36">
        <v>334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8">
        <f t="shared" si="1"/>
        <v>334</v>
      </c>
    </row>
    <row r="82" spans="1:38" customFormat="1" ht="15" hidden="1" x14ac:dyDescent="0.25">
      <c r="A82" s="11"/>
      <c r="B82" s="31" t="s">
        <v>173</v>
      </c>
      <c r="C82" s="20" t="s">
        <v>174</v>
      </c>
      <c r="D82" s="11"/>
      <c r="E82" s="11"/>
      <c r="F82" s="36">
        <v>0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8">
        <f t="shared" si="1"/>
        <v>0</v>
      </c>
    </row>
    <row r="83" spans="1:38" customFormat="1" ht="15" hidden="1" x14ac:dyDescent="0.25">
      <c r="A83" s="11" t="s">
        <v>210</v>
      </c>
      <c r="B83" s="31" t="s">
        <v>175</v>
      </c>
      <c r="C83" s="20" t="s">
        <v>176</v>
      </c>
      <c r="D83" s="11"/>
      <c r="E83" s="11"/>
      <c r="F83" s="36">
        <v>290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>
        <v>-4</v>
      </c>
      <c r="AC83" s="33"/>
      <c r="AD83" s="33"/>
      <c r="AE83" s="33"/>
      <c r="AF83" s="33"/>
      <c r="AG83" s="33"/>
      <c r="AH83" s="33"/>
      <c r="AI83" s="33"/>
      <c r="AJ83" s="33"/>
      <c r="AK83" s="33"/>
      <c r="AL83" s="38">
        <f t="shared" si="1"/>
        <v>286</v>
      </c>
    </row>
    <row r="84" spans="1:38" customFormat="1" ht="15" hidden="1" x14ac:dyDescent="0.25">
      <c r="A84" s="11" t="s">
        <v>210</v>
      </c>
      <c r="B84" s="31" t="s">
        <v>177</v>
      </c>
      <c r="C84" s="20" t="s">
        <v>178</v>
      </c>
      <c r="D84" s="11"/>
      <c r="E84" s="11"/>
      <c r="F84" s="36">
        <v>66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8">
        <f t="shared" si="1"/>
        <v>66</v>
      </c>
    </row>
    <row r="85" spans="1:38" customFormat="1" ht="15" hidden="1" x14ac:dyDescent="0.25">
      <c r="A85" s="11"/>
      <c r="B85" s="31" t="s">
        <v>179</v>
      </c>
      <c r="C85" s="20" t="s">
        <v>180</v>
      </c>
      <c r="D85" s="11"/>
      <c r="E85" s="11"/>
      <c r="F85" s="36">
        <v>0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8">
        <f t="shared" si="1"/>
        <v>0</v>
      </c>
    </row>
    <row r="86" spans="1:38" customFormat="1" ht="15" hidden="1" x14ac:dyDescent="0.25">
      <c r="A86" s="11" t="s">
        <v>210</v>
      </c>
      <c r="B86" s="31" t="s">
        <v>181</v>
      </c>
      <c r="C86" s="20" t="s">
        <v>182</v>
      </c>
      <c r="D86" s="11"/>
      <c r="E86" s="11"/>
      <c r="F86" s="36">
        <v>129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8">
        <f t="shared" si="1"/>
        <v>129</v>
      </c>
    </row>
    <row r="87" spans="1:38" customFormat="1" ht="15" hidden="1" x14ac:dyDescent="0.25">
      <c r="A87" s="11"/>
      <c r="B87" s="31" t="s">
        <v>183</v>
      </c>
      <c r="C87" s="20" t="s">
        <v>184</v>
      </c>
      <c r="D87" s="11"/>
      <c r="E87" s="11"/>
      <c r="F87" s="36">
        <v>0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8">
        <f t="shared" si="1"/>
        <v>0</v>
      </c>
    </row>
    <row r="88" spans="1:38" customFormat="1" ht="15" hidden="1" x14ac:dyDescent="0.25">
      <c r="A88" s="11" t="s">
        <v>210</v>
      </c>
      <c r="B88" s="31" t="s">
        <v>177</v>
      </c>
      <c r="C88" s="20" t="s">
        <v>185</v>
      </c>
      <c r="D88" s="11"/>
      <c r="E88" s="11"/>
      <c r="F88" s="36">
        <v>20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8">
        <f t="shared" si="1"/>
        <v>20</v>
      </c>
    </row>
    <row r="89" spans="1:38" customFormat="1" ht="15" hidden="1" x14ac:dyDescent="0.25">
      <c r="A89" s="11"/>
      <c r="B89" s="31" t="s">
        <v>186</v>
      </c>
      <c r="C89" s="20" t="s">
        <v>187</v>
      </c>
      <c r="D89" s="11"/>
      <c r="E89" s="11"/>
      <c r="F89" s="36">
        <v>0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8">
        <f t="shared" si="1"/>
        <v>0</v>
      </c>
    </row>
    <row r="90" spans="1:38" customFormat="1" ht="15" hidden="1" x14ac:dyDescent="0.25">
      <c r="A90" s="11"/>
      <c r="B90" s="32" t="s">
        <v>188</v>
      </c>
      <c r="C90" s="30" t="s">
        <v>189</v>
      </c>
      <c r="D90" s="11"/>
      <c r="E90" s="11"/>
      <c r="F90" s="36">
        <v>0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8">
        <f t="shared" si="1"/>
        <v>0</v>
      </c>
    </row>
    <row r="91" spans="1:38" customFormat="1" ht="15" hidden="1" x14ac:dyDescent="0.25">
      <c r="A91" s="11" t="s">
        <v>212</v>
      </c>
      <c r="B91" s="31" t="s">
        <v>190</v>
      </c>
      <c r="C91" s="20" t="s">
        <v>191</v>
      </c>
      <c r="D91" s="11"/>
      <c r="E91" s="11"/>
      <c r="F91" s="36">
        <v>45</v>
      </c>
      <c r="G91" s="33"/>
      <c r="H91" s="33"/>
      <c r="I91" s="33"/>
      <c r="J91" s="33"/>
      <c r="K91" s="33">
        <v>-1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8">
        <f t="shared" si="1"/>
        <v>44</v>
      </c>
    </row>
    <row r="92" spans="1:38" customFormat="1" ht="15" hidden="1" x14ac:dyDescent="0.25">
      <c r="A92" s="11" t="s">
        <v>212</v>
      </c>
      <c r="B92" s="31" t="s">
        <v>192</v>
      </c>
      <c r="C92" s="20" t="s">
        <v>193</v>
      </c>
      <c r="D92" s="11"/>
      <c r="E92" s="11"/>
      <c r="F92" s="36">
        <v>33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>
        <v>-2</v>
      </c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8">
        <f t="shared" si="1"/>
        <v>31</v>
      </c>
    </row>
    <row r="93" spans="1:38" customFormat="1" ht="15" hidden="1" x14ac:dyDescent="0.25">
      <c r="A93" s="11" t="s">
        <v>212</v>
      </c>
      <c r="B93" s="31" t="s">
        <v>194</v>
      </c>
      <c r="C93" s="20" t="s">
        <v>195</v>
      </c>
      <c r="D93" s="11"/>
      <c r="E93" s="11"/>
      <c r="F93" s="36">
        <v>42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8">
        <f t="shared" si="1"/>
        <v>42</v>
      </c>
    </row>
    <row r="94" spans="1:38" customFormat="1" ht="15" hidden="1" x14ac:dyDescent="0.25">
      <c r="A94" s="11" t="s">
        <v>211</v>
      </c>
      <c r="B94" s="31" t="s">
        <v>196</v>
      </c>
      <c r="C94" s="20" t="s">
        <v>197</v>
      </c>
      <c r="D94" s="11"/>
      <c r="E94" s="11"/>
      <c r="F94" s="36">
        <v>69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8">
        <f t="shared" si="1"/>
        <v>69</v>
      </c>
    </row>
    <row r="95" spans="1:38" customFormat="1" ht="15" hidden="1" x14ac:dyDescent="0.25">
      <c r="A95" s="11" t="s">
        <v>213</v>
      </c>
      <c r="C95" s="20" t="s">
        <v>198</v>
      </c>
      <c r="D95" s="11"/>
      <c r="E95" s="11"/>
      <c r="F95" s="36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8">
        <f t="shared" si="1"/>
        <v>0</v>
      </c>
    </row>
    <row r="96" spans="1:38" customFormat="1" ht="15" hidden="1" x14ac:dyDescent="0.25">
      <c r="A96" s="11" t="s">
        <v>212</v>
      </c>
      <c r="B96" s="31" t="s">
        <v>199</v>
      </c>
      <c r="C96" s="20" t="s">
        <v>200</v>
      </c>
      <c r="D96" s="11"/>
      <c r="E96" s="11"/>
      <c r="F96" s="36">
        <v>55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8">
        <f t="shared" si="1"/>
        <v>55</v>
      </c>
    </row>
    <row r="97" spans="1:38" customFormat="1" ht="15" hidden="1" x14ac:dyDescent="0.25">
      <c r="A97" s="11" t="s">
        <v>212</v>
      </c>
      <c r="B97" s="31" t="s">
        <v>201</v>
      </c>
      <c r="C97" s="20" t="s">
        <v>202</v>
      </c>
      <c r="D97" s="11"/>
      <c r="E97" s="11"/>
      <c r="F97" s="36">
        <v>0</v>
      </c>
      <c r="G97" s="33"/>
      <c r="H97" s="33"/>
      <c r="I97" s="33"/>
      <c r="J97" s="33"/>
      <c r="K97" s="33"/>
      <c r="L97" s="33"/>
      <c r="M97" s="34">
        <v>600</v>
      </c>
      <c r="N97" s="33">
        <v>-100</v>
      </c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8">
        <f t="shared" si="1"/>
        <v>500</v>
      </c>
    </row>
    <row r="98" spans="1:38" customFormat="1" ht="15" hidden="1" x14ac:dyDescent="0.25">
      <c r="A98" s="11" t="s">
        <v>212</v>
      </c>
      <c r="C98" s="20" t="s">
        <v>203</v>
      </c>
      <c r="D98" s="11"/>
      <c r="E98" s="11"/>
      <c r="F98" s="36">
        <v>0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8">
        <f t="shared" si="1"/>
        <v>0</v>
      </c>
    </row>
    <row r="99" spans="1:38" customFormat="1" ht="15" x14ac:dyDescent="0.25">
      <c r="A99" s="11" t="s">
        <v>211</v>
      </c>
      <c r="B99" s="31" t="s">
        <v>204</v>
      </c>
      <c r="C99" s="20" t="s">
        <v>205</v>
      </c>
      <c r="D99" s="11"/>
      <c r="E99" s="11"/>
      <c r="F99" s="36">
        <v>113</v>
      </c>
      <c r="G99" s="33"/>
      <c r="H99" s="33"/>
      <c r="I99" s="33">
        <v>-1</v>
      </c>
      <c r="J99" s="33"/>
      <c r="K99" s="33"/>
      <c r="L99" s="33"/>
      <c r="M99" s="33"/>
      <c r="N99" s="33"/>
      <c r="O99" s="33">
        <v>-1</v>
      </c>
      <c r="P99" s="33"/>
      <c r="Q99" s="33"/>
      <c r="R99" s="33"/>
      <c r="S99" s="33"/>
      <c r="T99" s="33"/>
      <c r="U99" s="33"/>
      <c r="V99" s="33">
        <v>-13</v>
      </c>
      <c r="W99" s="33">
        <f>-1+-1+-1</f>
        <v>-3</v>
      </c>
      <c r="X99" s="33"/>
      <c r="Y99" s="33"/>
      <c r="Z99" s="33"/>
      <c r="AA99" s="33">
        <v>-5</v>
      </c>
      <c r="AB99" s="33">
        <v>-1</v>
      </c>
      <c r="AC99" s="33">
        <v>-25</v>
      </c>
      <c r="AD99" s="33"/>
      <c r="AE99" s="33"/>
      <c r="AF99" s="33"/>
      <c r="AG99" s="33"/>
      <c r="AH99" s="33"/>
      <c r="AI99" s="33"/>
      <c r="AJ99" s="33"/>
      <c r="AK99" s="33"/>
      <c r="AL99" s="38">
        <f t="shared" si="1"/>
        <v>64</v>
      </c>
    </row>
    <row r="100" spans="1:38" customFormat="1" ht="15" x14ac:dyDescent="0.25">
      <c r="A100" s="11" t="s">
        <v>211</v>
      </c>
      <c r="B100" s="31" t="s">
        <v>206</v>
      </c>
      <c r="C100" s="20" t="s">
        <v>207</v>
      </c>
      <c r="D100" s="11"/>
      <c r="E100" s="11"/>
      <c r="F100" s="36">
        <v>566</v>
      </c>
      <c r="G100" s="33"/>
      <c r="H100" s="33">
        <v>-12</v>
      </c>
      <c r="I100" s="33"/>
      <c r="J100" s="33"/>
      <c r="K100" s="33"/>
      <c r="L100" s="33">
        <v>-69</v>
      </c>
      <c r="M100" s="33"/>
      <c r="N100" s="33">
        <v>-37</v>
      </c>
      <c r="O100" s="33"/>
      <c r="P100" s="33"/>
      <c r="Q100" s="33"/>
      <c r="R100" s="33"/>
      <c r="S100" s="33">
        <f>-12+-12</f>
        <v>-24</v>
      </c>
      <c r="T100" s="33"/>
      <c r="U100" s="33"/>
      <c r="V100" s="33">
        <v>-14</v>
      </c>
      <c r="W100" s="33"/>
      <c r="X100" s="33"/>
      <c r="Y100" s="33"/>
      <c r="Z100" s="33"/>
      <c r="AA100" s="33"/>
      <c r="AB100" s="33">
        <f>-13+-12</f>
        <v>-25</v>
      </c>
      <c r="AC100" s="33">
        <f>-20+-20</f>
        <v>-40</v>
      </c>
      <c r="AD100" s="33"/>
      <c r="AE100" s="33"/>
      <c r="AF100" s="33"/>
      <c r="AG100" s="33">
        <v>-10</v>
      </c>
      <c r="AH100" s="33">
        <v>-121</v>
      </c>
      <c r="AI100" s="33"/>
      <c r="AJ100" s="33">
        <f>-7+-7</f>
        <v>-14</v>
      </c>
      <c r="AK100" s="34">
        <v>500</v>
      </c>
      <c r="AL100" s="38">
        <f t="shared" si="1"/>
        <v>700</v>
      </c>
    </row>
    <row r="101" spans="1:38" customFormat="1" ht="15" x14ac:dyDescent="0.25">
      <c r="A101" s="11" t="s">
        <v>211</v>
      </c>
      <c r="B101" s="31" t="s">
        <v>208</v>
      </c>
      <c r="C101" s="20" t="s">
        <v>209</v>
      </c>
      <c r="D101" s="11"/>
      <c r="E101" s="11"/>
      <c r="F101" s="36">
        <v>64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38">
        <f t="shared" si="1"/>
        <v>64</v>
      </c>
    </row>
    <row r="102" spans="1:38" customFormat="1" ht="15" x14ac:dyDescent="0.25">
      <c r="A102" s="11"/>
      <c r="B102" s="20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38">
        <f t="shared" si="1"/>
        <v>0</v>
      </c>
    </row>
    <row r="103" spans="1:38" customFormat="1" ht="15" x14ac:dyDescent="0.25">
      <c r="A103" s="11"/>
      <c r="B103" s="20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38">
        <f t="shared" si="1"/>
        <v>0</v>
      </c>
    </row>
    <row r="104" spans="1:38" customFormat="1" ht="15" x14ac:dyDescent="0.25">
      <c r="A104" s="11"/>
      <c r="B104" s="20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25"/>
    </row>
    <row r="105" spans="1:38" customFormat="1" ht="15" x14ac:dyDescent="0.25">
      <c r="A105" s="11"/>
      <c r="B105" s="20"/>
      <c r="C105" s="2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25"/>
    </row>
    <row r="106" spans="1:38" customFormat="1" ht="15" x14ac:dyDescent="0.25">
      <c r="A106" s="11"/>
      <c r="B106" s="20"/>
      <c r="C106" s="2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25"/>
    </row>
    <row r="107" spans="1:38" customFormat="1" ht="15" x14ac:dyDescent="0.25">
      <c r="A107" s="11"/>
      <c r="B107" s="20"/>
      <c r="C107" s="2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25"/>
    </row>
    <row r="108" spans="1:38" customFormat="1" ht="15" x14ac:dyDescent="0.25">
      <c r="A108" s="11"/>
      <c r="B108" s="20"/>
      <c r="C108" s="2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25"/>
    </row>
    <row r="109" spans="1:38" customFormat="1" ht="15" x14ac:dyDescent="0.25">
      <c r="A109" s="11"/>
      <c r="B109" s="20"/>
      <c r="C109" s="2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25"/>
    </row>
    <row r="110" spans="1:38" ht="13.5" thickBot="1" x14ac:dyDescent="0.25"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1:38" ht="79.5" customHeight="1" thickBot="1" x14ac:dyDescent="0.25">
      <c r="B111" s="6" t="s">
        <v>21</v>
      </c>
      <c r="C111" s="18"/>
      <c r="D111" s="19"/>
      <c r="E111" s="9" t="s">
        <v>22</v>
      </c>
      <c r="F111" s="22" t="s">
        <v>23</v>
      </c>
      <c r="G111" s="26" t="s">
        <v>24</v>
      </c>
      <c r="H111" s="27"/>
    </row>
    <row r="112" spans="1:38" ht="16.5" thickBot="1" x14ac:dyDescent="0.25">
      <c r="B112" s="7" t="s">
        <v>25</v>
      </c>
      <c r="C112" s="19"/>
      <c r="D112" s="19"/>
      <c r="E112" s="8"/>
      <c r="F112" s="21"/>
      <c r="G112" s="41"/>
      <c r="H112" s="42"/>
    </row>
    <row r="113" spans="2:8" ht="16.5" thickBot="1" x14ac:dyDescent="0.25">
      <c r="B113" s="7" t="s">
        <v>26</v>
      </c>
      <c r="C113" s="19"/>
      <c r="D113" s="19"/>
      <c r="E113" s="9"/>
      <c r="F113" s="22"/>
      <c r="G113" s="43"/>
      <c r="H113" s="44"/>
    </row>
    <row r="114" spans="2:8" ht="16.5" thickBot="1" x14ac:dyDescent="0.25">
      <c r="B114" s="7" t="s">
        <v>27</v>
      </c>
      <c r="C114" s="19"/>
      <c r="D114" s="19"/>
      <c r="E114" s="10"/>
      <c r="F114" s="23"/>
      <c r="G114" s="45"/>
      <c r="H114" s="46"/>
    </row>
    <row r="115" spans="2:8" ht="15.75" x14ac:dyDescent="0.2">
      <c r="B115" s="47" t="s">
        <v>28</v>
      </c>
      <c r="C115" s="16"/>
      <c r="D115" s="16"/>
      <c r="E115" s="50"/>
      <c r="F115" s="53"/>
      <c r="G115" s="56"/>
      <c r="H115" s="57"/>
    </row>
    <row r="116" spans="2:8" ht="15.75" x14ac:dyDescent="0.2">
      <c r="B116" s="48"/>
      <c r="C116" s="17"/>
      <c r="D116" s="17"/>
      <c r="E116" s="51"/>
      <c r="F116" s="54"/>
      <c r="G116" s="56"/>
      <c r="H116" s="57"/>
    </row>
    <row r="117" spans="2:8" ht="16.5" thickBot="1" x14ac:dyDescent="0.25">
      <c r="B117" s="49"/>
      <c r="C117" s="7"/>
      <c r="D117" s="7"/>
      <c r="E117" s="52"/>
      <c r="F117" s="55"/>
      <c r="G117" s="58"/>
      <c r="H117" s="59"/>
    </row>
  </sheetData>
  <autoFilter ref="A10:AO101" xr:uid="{00000000-0001-0000-0000-000000000000}">
    <filterColumn colId="2">
      <filters>
        <filter val="MOV 14K561 - TellerX"/>
        <filter val="MOV 511KD10 - NCS"/>
        <filter val="MOV 561KD10 - NCS"/>
      </filters>
    </filterColumn>
  </autoFilter>
  <mergeCells count="24"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G115:H117"/>
    <mergeCell ref="G112:H112"/>
    <mergeCell ref="G113:H113"/>
    <mergeCell ref="G114:H114"/>
    <mergeCell ref="B115:B117"/>
    <mergeCell ref="E115:E117"/>
    <mergeCell ref="F115:F117"/>
  </mergeCells>
  <conditionalFormatting sqref="AL11:AL109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2"/>
  <dimension ref="A1:AL121"/>
  <sheetViews>
    <sheetView workbookViewId="0">
      <pane xSplit="4" ySplit="10" topLeftCell="V92" activePane="bottomRight" state="frozen"/>
      <selection pane="topRight" activeCell="E1" sqref="E1"/>
      <selection pane="bottomLeft" activeCell="A11" sqref="A11"/>
      <selection pane="bottomRight" activeCell="AA100" sqref="AA100"/>
    </sheetView>
  </sheetViews>
  <sheetFormatPr defaultRowHeight="15" x14ac:dyDescent="0.25"/>
  <cols>
    <col min="2" max="2" width="13.28515625" bestFit="1" customWidth="1"/>
    <col min="3" max="3" width="39.5703125" bestFit="1" customWidth="1"/>
    <col min="7" max="34" width="10.140625" bestFit="1" customWidth="1"/>
  </cols>
  <sheetData>
    <row r="1" spans="1:38" ht="22.5" x14ac:dyDescent="0.25">
      <c r="E1" s="65" t="s">
        <v>29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38" x14ac:dyDescent="0.25">
      <c r="E2" s="66" t="s">
        <v>30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8"/>
    </row>
    <row r="3" spans="1:38" ht="15.75" x14ac:dyDescent="0.25">
      <c r="E3" s="69" t="s">
        <v>0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38" x14ac:dyDescent="0.25">
      <c r="E4" s="70" t="s">
        <v>1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</row>
    <row r="5" spans="1:38" ht="15.75" x14ac:dyDescent="0.25">
      <c r="E5" s="60" t="s">
        <v>2</v>
      </c>
      <c r="F5" s="60"/>
      <c r="G5" s="60"/>
      <c r="H5" s="71" t="s">
        <v>3</v>
      </c>
      <c r="I5" s="72"/>
      <c r="J5" s="73"/>
      <c r="K5" s="62" t="s">
        <v>4</v>
      </c>
      <c r="L5" s="62"/>
      <c r="M5" s="11">
        <v>0</v>
      </c>
      <c r="N5" s="74" t="s">
        <v>5</v>
      </c>
      <c r="O5" s="74"/>
      <c r="P5" s="75"/>
      <c r="Q5" s="76"/>
    </row>
    <row r="6" spans="1:38" ht="15.75" x14ac:dyDescent="0.25">
      <c r="E6" s="60" t="s">
        <v>6</v>
      </c>
      <c r="F6" s="60"/>
      <c r="G6" s="60"/>
      <c r="H6" s="61" t="s">
        <v>7</v>
      </c>
      <c r="I6" s="61"/>
      <c r="J6" s="61"/>
      <c r="K6" s="62" t="s">
        <v>8</v>
      </c>
      <c r="L6" s="62"/>
      <c r="M6" s="63" t="s">
        <v>9</v>
      </c>
      <c r="N6" s="63"/>
      <c r="O6" s="63"/>
      <c r="P6" s="63"/>
      <c r="Q6" s="63"/>
    </row>
    <row r="7" spans="1:38" ht="15.75" x14ac:dyDescent="0.25">
      <c r="E7" s="62" t="s">
        <v>10</v>
      </c>
      <c r="F7" s="62"/>
      <c r="G7" s="62"/>
      <c r="H7" s="64"/>
      <c r="I7" s="64"/>
      <c r="J7" s="64"/>
      <c r="K7" s="62" t="s">
        <v>11</v>
      </c>
      <c r="L7" s="62"/>
      <c r="M7" s="63"/>
      <c r="N7" s="63"/>
      <c r="O7" s="63"/>
      <c r="P7" s="63"/>
      <c r="Q7" s="63"/>
    </row>
    <row r="9" spans="1:38" x14ac:dyDescent="0.25">
      <c r="A9" t="s">
        <v>12</v>
      </c>
    </row>
    <row r="10" spans="1:38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214</v>
      </c>
      <c r="G10" s="13">
        <v>46054</v>
      </c>
      <c r="H10" s="13">
        <v>46055</v>
      </c>
      <c r="I10" s="13">
        <v>46056</v>
      </c>
      <c r="J10" s="13">
        <v>46057</v>
      </c>
      <c r="K10" s="13">
        <v>46058</v>
      </c>
      <c r="L10" s="13">
        <v>46059</v>
      </c>
      <c r="M10" s="13">
        <v>46060</v>
      </c>
      <c r="N10" s="13">
        <v>46061</v>
      </c>
      <c r="O10" s="13">
        <v>46062</v>
      </c>
      <c r="P10" s="13">
        <v>46063</v>
      </c>
      <c r="Q10" s="13">
        <v>46064</v>
      </c>
      <c r="R10" s="13">
        <v>46065</v>
      </c>
      <c r="S10" s="13">
        <v>46066</v>
      </c>
      <c r="T10" s="13">
        <v>46067</v>
      </c>
      <c r="U10" s="13">
        <v>46068</v>
      </c>
      <c r="V10" s="13">
        <v>46069</v>
      </c>
      <c r="W10" s="13">
        <v>46070</v>
      </c>
      <c r="X10" s="13">
        <v>46071</v>
      </c>
      <c r="Y10" s="13">
        <v>46072</v>
      </c>
      <c r="Z10" s="13">
        <v>46073</v>
      </c>
      <c r="AA10" s="13">
        <v>46074</v>
      </c>
      <c r="AB10" s="13">
        <v>46075</v>
      </c>
      <c r="AC10" s="13">
        <v>46076</v>
      </c>
      <c r="AD10" s="13">
        <v>46077</v>
      </c>
      <c r="AE10" s="13">
        <v>46078</v>
      </c>
      <c r="AF10" s="13">
        <v>46079</v>
      </c>
      <c r="AG10" s="13">
        <v>46080</v>
      </c>
      <c r="AH10" s="13">
        <v>46081</v>
      </c>
      <c r="AI10" s="12" t="s">
        <v>215</v>
      </c>
      <c r="AJ10" s="3" t="s">
        <v>18</v>
      </c>
      <c r="AK10" s="3" t="s">
        <v>19</v>
      </c>
      <c r="AL10" s="3" t="s">
        <v>20</v>
      </c>
    </row>
    <row r="11" spans="1:38" x14ac:dyDescent="0.25">
      <c r="A11" s="11" t="s">
        <v>31</v>
      </c>
      <c r="B11" s="31" t="s">
        <v>33</v>
      </c>
      <c r="C11" s="20" t="s">
        <v>34</v>
      </c>
      <c r="D11" s="11"/>
      <c r="E11" s="11"/>
      <c r="F11" s="39">
        <f>'Jan 2026'!AL11</f>
        <v>1003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11"/>
      <c r="AI11" s="38">
        <f>F11+SUM(G11:AH11)</f>
        <v>1003</v>
      </c>
    </row>
    <row r="12" spans="1:38" x14ac:dyDescent="0.25">
      <c r="A12" s="11" t="s">
        <v>31</v>
      </c>
      <c r="B12" s="31" t="s">
        <v>35</v>
      </c>
      <c r="C12" s="20" t="s">
        <v>36</v>
      </c>
      <c r="D12" s="11"/>
      <c r="E12" s="11"/>
      <c r="F12" s="39">
        <f>'Jan 2026'!AL12</f>
        <v>1463</v>
      </c>
      <c r="G12" s="33"/>
      <c r="H12" s="33">
        <v>-6</v>
      </c>
      <c r="I12" s="33">
        <v>-396</v>
      </c>
      <c r="J12" s="33">
        <f>-8+-8+-9+-8</f>
        <v>-33</v>
      </c>
      <c r="K12" s="33">
        <f>-6+-9+-25</f>
        <v>-40</v>
      </c>
      <c r="L12" s="33">
        <v>-10</v>
      </c>
      <c r="M12" s="33"/>
      <c r="N12" s="33"/>
      <c r="O12" s="33"/>
      <c r="P12" s="33"/>
      <c r="Q12" s="33"/>
      <c r="R12" s="33"/>
      <c r="S12" s="33">
        <f>-15+-15</f>
        <v>-30</v>
      </c>
      <c r="T12" s="33"/>
      <c r="U12" s="33"/>
      <c r="V12" s="33">
        <v>-1</v>
      </c>
      <c r="W12" s="33"/>
      <c r="X12" s="33"/>
      <c r="Y12" s="33"/>
      <c r="Z12" s="33">
        <f>-22+-12+-12</f>
        <v>-46</v>
      </c>
      <c r="AA12" s="34">
        <v>1000</v>
      </c>
      <c r="AB12" s="33"/>
      <c r="AC12" s="33"/>
      <c r="AD12" s="33">
        <f>-22+-22</f>
        <v>-44</v>
      </c>
      <c r="AE12" s="33"/>
      <c r="AF12" s="33"/>
      <c r="AG12" s="33"/>
      <c r="AH12" s="11"/>
      <c r="AI12" s="38">
        <f>F12+SUM(G12:AH12)</f>
        <v>1857</v>
      </c>
    </row>
    <row r="13" spans="1:38" x14ac:dyDescent="0.25">
      <c r="A13" s="11" t="s">
        <v>31</v>
      </c>
      <c r="B13" s="31" t="s">
        <v>37</v>
      </c>
      <c r="C13" s="20" t="s">
        <v>38</v>
      </c>
      <c r="D13" s="11"/>
      <c r="E13" s="11"/>
      <c r="F13" s="39">
        <f>'Jan 2026'!AL13</f>
        <v>487</v>
      </c>
      <c r="G13" s="33"/>
      <c r="H13" s="33"/>
      <c r="I13" s="33"/>
      <c r="J13" s="33">
        <v>-8</v>
      </c>
      <c r="K13" s="33">
        <f>-6+-9+-50</f>
        <v>-65</v>
      </c>
      <c r="L13" s="33">
        <v>-10</v>
      </c>
      <c r="M13" s="33"/>
      <c r="N13" s="33"/>
      <c r="O13" s="33"/>
      <c r="P13" s="33"/>
      <c r="Q13" s="33"/>
      <c r="R13" s="33"/>
      <c r="S13" s="33">
        <v>-15</v>
      </c>
      <c r="T13" s="33"/>
      <c r="U13" s="33"/>
      <c r="V13" s="33"/>
      <c r="W13" s="33"/>
      <c r="X13" s="33"/>
      <c r="Y13" s="33"/>
      <c r="Z13" s="33">
        <f>-22+-12</f>
        <v>-34</v>
      </c>
      <c r="AA13" s="34">
        <v>1000</v>
      </c>
      <c r="AB13" s="33"/>
      <c r="AC13" s="33"/>
      <c r="AD13" s="33">
        <v>-22</v>
      </c>
      <c r="AE13" s="33"/>
      <c r="AF13" s="33"/>
      <c r="AG13" s="33"/>
      <c r="AH13" s="11"/>
      <c r="AI13" s="38">
        <f t="shared" ref="AI13:AI76" si="0">F13+SUM(G13:AH13)</f>
        <v>1333</v>
      </c>
    </row>
    <row r="14" spans="1:38" x14ac:dyDescent="0.25">
      <c r="A14" s="11" t="s">
        <v>31</v>
      </c>
      <c r="B14" s="31" t="s">
        <v>39</v>
      </c>
      <c r="C14" s="20" t="s">
        <v>40</v>
      </c>
      <c r="D14" s="11"/>
      <c r="E14" s="11"/>
      <c r="F14" s="39">
        <f>'Jan 2026'!AL14</f>
        <v>607</v>
      </c>
      <c r="G14" s="33"/>
      <c r="H14" s="33"/>
      <c r="I14" s="33"/>
      <c r="J14" s="33">
        <v>-4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11"/>
      <c r="AI14" s="38">
        <f t="shared" si="0"/>
        <v>603</v>
      </c>
    </row>
    <row r="15" spans="1:38" x14ac:dyDescent="0.25">
      <c r="A15" s="11" t="s">
        <v>31</v>
      </c>
      <c r="B15" s="31" t="s">
        <v>41</v>
      </c>
      <c r="C15" s="20" t="s">
        <v>42</v>
      </c>
      <c r="D15" s="11"/>
      <c r="E15" s="11"/>
      <c r="F15" s="39">
        <f>'Jan 2026'!AL15</f>
        <v>444</v>
      </c>
      <c r="G15" s="33"/>
      <c r="H15" s="33">
        <v>-6</v>
      </c>
      <c r="I15" s="33">
        <v>-396</v>
      </c>
      <c r="J15" s="33">
        <f>-8+-9</f>
        <v>-17</v>
      </c>
      <c r="K15" s="33">
        <f>-6+-9</f>
        <v>-15</v>
      </c>
      <c r="L15" s="33">
        <v>-10</v>
      </c>
      <c r="M15" s="33"/>
      <c r="N15" s="33"/>
      <c r="O15" s="33"/>
      <c r="P15" s="33"/>
      <c r="Q15" s="33"/>
      <c r="R15" s="33"/>
      <c r="S15" s="33">
        <v>-15</v>
      </c>
      <c r="T15" s="33"/>
      <c r="U15" s="33"/>
      <c r="V15" s="33">
        <v>-4</v>
      </c>
      <c r="W15" s="33"/>
      <c r="X15" s="33"/>
      <c r="Y15" s="33"/>
      <c r="Z15" s="33">
        <f>-22+-12</f>
        <v>-34</v>
      </c>
      <c r="AA15" s="34">
        <v>1000</v>
      </c>
      <c r="AB15" s="33"/>
      <c r="AC15" s="33"/>
      <c r="AD15" s="33">
        <f>-22</f>
        <v>-22</v>
      </c>
      <c r="AE15" s="33"/>
      <c r="AF15" s="33"/>
      <c r="AG15" s="33"/>
      <c r="AH15" s="11"/>
      <c r="AI15" s="38">
        <f t="shared" si="0"/>
        <v>925</v>
      </c>
    </row>
    <row r="16" spans="1:38" x14ac:dyDescent="0.25">
      <c r="A16" s="11" t="s">
        <v>31</v>
      </c>
      <c r="B16" s="31" t="s">
        <v>43</v>
      </c>
      <c r="C16" s="20" t="s">
        <v>44</v>
      </c>
      <c r="D16" s="11"/>
      <c r="E16" s="11"/>
      <c r="F16" s="39">
        <f>'Jan 2026'!AL16</f>
        <v>2444</v>
      </c>
      <c r="G16" s="33"/>
      <c r="H16" s="33">
        <v>-12</v>
      </c>
      <c r="I16" s="33">
        <v>-792</v>
      </c>
      <c r="J16" s="33">
        <f>-8+-18+-6</f>
        <v>-32</v>
      </c>
      <c r="K16" s="33">
        <f>-6+-9+-75</f>
        <v>-90</v>
      </c>
      <c r="L16" s="33">
        <v>-10</v>
      </c>
      <c r="M16" s="33"/>
      <c r="N16" s="33"/>
      <c r="O16" s="33"/>
      <c r="P16" s="33"/>
      <c r="Q16" s="33"/>
      <c r="R16" s="33"/>
      <c r="S16" s="33">
        <v>-15</v>
      </c>
      <c r="T16" s="33"/>
      <c r="U16" s="33"/>
      <c r="V16" s="33">
        <v>-7</v>
      </c>
      <c r="W16" s="33"/>
      <c r="X16" s="33"/>
      <c r="Y16" s="33"/>
      <c r="Z16" s="33">
        <f>-22+-12</f>
        <v>-34</v>
      </c>
      <c r="AA16" s="33"/>
      <c r="AB16" s="33"/>
      <c r="AC16" s="33"/>
      <c r="AD16" s="33">
        <v>-22</v>
      </c>
      <c r="AE16" s="33"/>
      <c r="AF16" s="33"/>
      <c r="AG16" s="33"/>
      <c r="AH16" s="11"/>
      <c r="AI16" s="38">
        <f t="shared" si="0"/>
        <v>1430</v>
      </c>
    </row>
    <row r="17" spans="1:35" x14ac:dyDescent="0.25">
      <c r="A17" s="11" t="s">
        <v>31</v>
      </c>
      <c r="B17" s="31" t="s">
        <v>45</v>
      </c>
      <c r="C17" s="20" t="s">
        <v>46</v>
      </c>
      <c r="D17" s="11"/>
      <c r="E17" s="11"/>
      <c r="F17" s="39">
        <f>'Jan 2026'!AL17</f>
        <v>74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11"/>
      <c r="AI17" s="38">
        <f t="shared" si="0"/>
        <v>74</v>
      </c>
    </row>
    <row r="18" spans="1:35" x14ac:dyDescent="0.25">
      <c r="A18" s="11" t="s">
        <v>31</v>
      </c>
      <c r="B18" s="31" t="s">
        <v>47</v>
      </c>
      <c r="C18" s="20" t="s">
        <v>48</v>
      </c>
      <c r="D18" s="11"/>
      <c r="E18" s="11"/>
      <c r="F18" s="39">
        <f>'Jan 2026'!AL18</f>
        <v>100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11"/>
      <c r="AI18" s="38">
        <f t="shared" si="0"/>
        <v>100</v>
      </c>
    </row>
    <row r="19" spans="1:35" x14ac:dyDescent="0.25">
      <c r="A19" s="11" t="s">
        <v>31</v>
      </c>
      <c r="B19" s="31" t="s">
        <v>49</v>
      </c>
      <c r="C19" s="20" t="s">
        <v>50</v>
      </c>
      <c r="D19" s="11"/>
      <c r="E19" s="11"/>
      <c r="F19" s="39">
        <f>'Jan 2026'!AL19</f>
        <v>74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11"/>
      <c r="AI19" s="38">
        <f t="shared" si="0"/>
        <v>74</v>
      </c>
    </row>
    <row r="20" spans="1:35" x14ac:dyDescent="0.25">
      <c r="A20" s="11" t="s">
        <v>31</v>
      </c>
      <c r="B20" s="31" t="s">
        <v>51</v>
      </c>
      <c r="C20" s="20" t="s">
        <v>52</v>
      </c>
      <c r="D20" s="11"/>
      <c r="E20" s="11"/>
      <c r="F20" s="39">
        <f>'Jan 2026'!AL20</f>
        <v>210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11"/>
      <c r="AI20" s="38">
        <f t="shared" si="0"/>
        <v>210</v>
      </c>
    </row>
    <row r="21" spans="1:35" x14ac:dyDescent="0.25">
      <c r="A21" s="11" t="s">
        <v>31</v>
      </c>
      <c r="B21" s="31" t="s">
        <v>53</v>
      </c>
      <c r="C21" s="20" t="s">
        <v>54</v>
      </c>
      <c r="D21" s="11"/>
      <c r="E21" s="11"/>
      <c r="F21" s="39">
        <f>'Jan 2026'!AL21</f>
        <v>100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11"/>
      <c r="AI21" s="38">
        <f t="shared" si="0"/>
        <v>100</v>
      </c>
    </row>
    <row r="22" spans="1:35" x14ac:dyDescent="0.25">
      <c r="A22" s="11" t="s">
        <v>31</v>
      </c>
      <c r="B22" s="31" t="s">
        <v>55</v>
      </c>
      <c r="C22" s="20" t="s">
        <v>56</v>
      </c>
      <c r="D22" s="11"/>
      <c r="E22" s="11"/>
      <c r="F22" s="39">
        <f>'Jan 2026'!AL22</f>
        <v>132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11"/>
      <c r="AI22" s="38">
        <f t="shared" si="0"/>
        <v>132</v>
      </c>
    </row>
    <row r="23" spans="1:35" x14ac:dyDescent="0.25">
      <c r="A23" s="11" t="s">
        <v>31</v>
      </c>
      <c r="B23" s="31" t="s">
        <v>57</v>
      </c>
      <c r="C23" s="20" t="s">
        <v>58</v>
      </c>
      <c r="D23" s="11"/>
      <c r="E23" s="11"/>
      <c r="F23" s="39">
        <f>'Jan 2026'!AL23</f>
        <v>2063</v>
      </c>
      <c r="G23" s="33"/>
      <c r="H23" s="33">
        <v>-12</v>
      </c>
      <c r="I23" s="33">
        <v>-792</v>
      </c>
      <c r="J23" s="33">
        <f>-24+-18+-21+-2</f>
        <v>-65</v>
      </c>
      <c r="K23" s="33">
        <v>-25</v>
      </c>
      <c r="L23" s="33"/>
      <c r="M23" s="33"/>
      <c r="N23" s="33"/>
      <c r="O23" s="33"/>
      <c r="P23" s="33"/>
      <c r="Q23" s="33"/>
      <c r="R23" s="33"/>
      <c r="S23" s="33">
        <v>-45</v>
      </c>
      <c r="T23" s="33"/>
      <c r="U23" s="33"/>
      <c r="V23" s="33">
        <v>-3</v>
      </c>
      <c r="W23" s="33"/>
      <c r="X23" s="33"/>
      <c r="Y23" s="33"/>
      <c r="Z23" s="33">
        <v>-36</v>
      </c>
      <c r="AA23" s="33"/>
      <c r="AB23" s="33"/>
      <c r="AC23" s="33"/>
      <c r="AD23" s="33">
        <v>-22</v>
      </c>
      <c r="AE23" s="33"/>
      <c r="AF23" s="33"/>
      <c r="AG23" s="33"/>
      <c r="AH23" s="11"/>
      <c r="AI23" s="38">
        <f t="shared" si="0"/>
        <v>1063</v>
      </c>
    </row>
    <row r="24" spans="1:35" x14ac:dyDescent="0.25">
      <c r="A24" s="11" t="s">
        <v>32</v>
      </c>
      <c r="B24" s="31" t="s">
        <v>59</v>
      </c>
      <c r="C24" s="20" t="s">
        <v>60</v>
      </c>
      <c r="D24" s="11"/>
      <c r="E24" s="11"/>
      <c r="F24" s="39">
        <f>'Jan 2026'!AL24</f>
        <v>45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11"/>
      <c r="AI24" s="38">
        <f t="shared" si="0"/>
        <v>45</v>
      </c>
    </row>
    <row r="25" spans="1:35" x14ac:dyDescent="0.25">
      <c r="A25" s="11" t="s">
        <v>31</v>
      </c>
      <c r="B25" s="31" t="s">
        <v>61</v>
      </c>
      <c r="C25" s="20" t="s">
        <v>62</v>
      </c>
      <c r="D25" s="11"/>
      <c r="E25" s="11"/>
      <c r="F25" s="39">
        <f>'Jan 2026'!AL25</f>
        <v>100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11"/>
      <c r="AI25" s="38">
        <f t="shared" si="0"/>
        <v>100</v>
      </c>
    </row>
    <row r="26" spans="1:35" x14ac:dyDescent="0.25">
      <c r="A26" s="11" t="s">
        <v>31</v>
      </c>
      <c r="B26" s="31" t="s">
        <v>63</v>
      </c>
      <c r="C26" s="20" t="s">
        <v>64</v>
      </c>
      <c r="D26" s="11"/>
      <c r="E26" s="11"/>
      <c r="F26" s="39">
        <f>'Jan 2026'!AL26</f>
        <v>265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11"/>
      <c r="AI26" s="38">
        <f t="shared" si="0"/>
        <v>265</v>
      </c>
    </row>
    <row r="27" spans="1:35" x14ac:dyDescent="0.25">
      <c r="A27" s="11" t="s">
        <v>31</v>
      </c>
      <c r="B27" s="31" t="s">
        <v>65</v>
      </c>
      <c r="C27" s="20" t="s">
        <v>66</v>
      </c>
      <c r="D27" s="11"/>
      <c r="E27" s="11"/>
      <c r="F27" s="39">
        <f>'Jan 2026'!AL27</f>
        <v>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11"/>
      <c r="AI27" s="38">
        <f t="shared" si="0"/>
        <v>0</v>
      </c>
    </row>
    <row r="28" spans="1:35" x14ac:dyDescent="0.25">
      <c r="A28" s="11" t="s">
        <v>31</v>
      </c>
      <c r="B28" s="31" t="s">
        <v>67</v>
      </c>
      <c r="C28" s="20" t="s">
        <v>68</v>
      </c>
      <c r="D28" s="11"/>
      <c r="E28" s="11"/>
      <c r="F28" s="39">
        <f>'Jan 2026'!AL28</f>
        <v>78</v>
      </c>
      <c r="G28" s="33"/>
      <c r="H28" s="33"/>
      <c r="I28" s="33"/>
      <c r="J28" s="33">
        <v>-2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11"/>
      <c r="AI28" s="38">
        <f t="shared" si="0"/>
        <v>76</v>
      </c>
    </row>
    <row r="29" spans="1:35" x14ac:dyDescent="0.25">
      <c r="A29" s="11" t="s">
        <v>31</v>
      </c>
      <c r="B29" s="31" t="s">
        <v>69</v>
      </c>
      <c r="C29" s="20" t="s">
        <v>70</v>
      </c>
      <c r="D29" s="11"/>
      <c r="E29" s="11"/>
      <c r="F29" s="39">
        <f>'Jan 2026'!AL29</f>
        <v>1727</v>
      </c>
      <c r="G29" s="33"/>
      <c r="H29" s="33"/>
      <c r="I29" s="33"/>
      <c r="J29" s="33">
        <f>-136+-4</f>
        <v>-140</v>
      </c>
      <c r="K29" s="33"/>
      <c r="L29" s="33"/>
      <c r="M29" s="33"/>
      <c r="N29" s="33"/>
      <c r="O29" s="33"/>
      <c r="P29" s="33"/>
      <c r="Q29" s="33"/>
      <c r="R29" s="33"/>
      <c r="S29" s="33">
        <v>-255</v>
      </c>
      <c r="T29" s="33"/>
      <c r="U29" s="33"/>
      <c r="V29" s="33"/>
      <c r="W29" s="33"/>
      <c r="X29" s="33"/>
      <c r="Y29" s="33"/>
      <c r="Z29" s="33">
        <v>-204</v>
      </c>
      <c r="AA29" s="34">
        <v>1000</v>
      </c>
      <c r="AB29" s="33"/>
      <c r="AC29" s="33"/>
      <c r="AD29" s="33">
        <v>-22</v>
      </c>
      <c r="AE29" s="33"/>
      <c r="AF29" s="33"/>
      <c r="AG29" s="33"/>
      <c r="AH29" s="11"/>
      <c r="AI29" s="38">
        <f t="shared" si="0"/>
        <v>2106</v>
      </c>
    </row>
    <row r="30" spans="1:35" x14ac:dyDescent="0.25">
      <c r="A30" s="11" t="s">
        <v>31</v>
      </c>
      <c r="B30" s="31" t="s">
        <v>71</v>
      </c>
      <c r="C30" s="20" t="s">
        <v>72</v>
      </c>
      <c r="D30" s="11"/>
      <c r="E30" s="11"/>
      <c r="F30" s="39">
        <f>'Jan 2026'!AL30</f>
        <v>745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11"/>
      <c r="AI30" s="38">
        <f t="shared" si="0"/>
        <v>745</v>
      </c>
    </row>
    <row r="31" spans="1:35" x14ac:dyDescent="0.25">
      <c r="A31" s="11" t="s">
        <v>31</v>
      </c>
      <c r="B31" s="31" t="s">
        <v>73</v>
      </c>
      <c r="C31" s="20" t="s">
        <v>74</v>
      </c>
      <c r="D31" s="11"/>
      <c r="E31" s="11"/>
      <c r="F31" s="39">
        <f>'Jan 2026'!AL31</f>
        <v>65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11"/>
      <c r="AI31" s="38">
        <f t="shared" si="0"/>
        <v>65</v>
      </c>
    </row>
    <row r="32" spans="1:35" x14ac:dyDescent="0.25">
      <c r="A32" s="11" t="s">
        <v>31</v>
      </c>
      <c r="B32" s="31" t="s">
        <v>75</v>
      </c>
      <c r="C32" s="20" t="s">
        <v>76</v>
      </c>
      <c r="D32" s="11"/>
      <c r="E32" s="11"/>
      <c r="F32" s="39">
        <f>'Jan 2026'!AL32</f>
        <v>198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11"/>
      <c r="AI32" s="38">
        <f t="shared" si="0"/>
        <v>198</v>
      </c>
    </row>
    <row r="33" spans="1:35" x14ac:dyDescent="0.25">
      <c r="A33" s="11" t="s">
        <v>31</v>
      </c>
      <c r="B33" s="31" t="s">
        <v>77</v>
      </c>
      <c r="C33" s="20" t="s">
        <v>78</v>
      </c>
      <c r="D33" s="11"/>
      <c r="E33" s="11"/>
      <c r="F33" s="39">
        <f>'Jan 2026'!AL33</f>
        <v>87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11"/>
      <c r="AI33" s="38">
        <f t="shared" si="0"/>
        <v>87</v>
      </c>
    </row>
    <row r="34" spans="1:35" x14ac:dyDescent="0.25">
      <c r="A34" s="11" t="s">
        <v>31</v>
      </c>
      <c r="B34" s="31" t="s">
        <v>79</v>
      </c>
      <c r="C34" s="20" t="s">
        <v>80</v>
      </c>
      <c r="D34" s="11"/>
      <c r="E34" s="11"/>
      <c r="F34" s="39">
        <f>'Jan 2026'!AL34</f>
        <v>40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11"/>
      <c r="AI34" s="38">
        <f t="shared" si="0"/>
        <v>40</v>
      </c>
    </row>
    <row r="35" spans="1:35" x14ac:dyDescent="0.25">
      <c r="A35" s="11" t="s">
        <v>31</v>
      </c>
      <c r="B35" s="31" t="s">
        <v>81</v>
      </c>
      <c r="C35" s="20" t="s">
        <v>82</v>
      </c>
      <c r="D35" s="11"/>
      <c r="E35" s="11"/>
      <c r="F35" s="39">
        <f>'Jan 2026'!AL35</f>
        <v>308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11"/>
      <c r="AI35" s="38">
        <f t="shared" si="0"/>
        <v>308</v>
      </c>
    </row>
    <row r="36" spans="1:35" x14ac:dyDescent="0.25">
      <c r="A36" s="11" t="s">
        <v>31</v>
      </c>
      <c r="B36" s="31" t="s">
        <v>83</v>
      </c>
      <c r="C36" s="20" t="s">
        <v>84</v>
      </c>
      <c r="D36" s="11"/>
      <c r="E36" s="11"/>
      <c r="F36" s="39">
        <f>'Jan 2026'!AL36</f>
        <v>330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11"/>
      <c r="AI36" s="38">
        <f t="shared" si="0"/>
        <v>330</v>
      </c>
    </row>
    <row r="37" spans="1:35" x14ac:dyDescent="0.25">
      <c r="A37" s="11" t="s">
        <v>31</v>
      </c>
      <c r="B37" s="31" t="s">
        <v>85</v>
      </c>
      <c r="C37" s="20" t="s">
        <v>86</v>
      </c>
      <c r="D37" s="11"/>
      <c r="E37" s="11"/>
      <c r="F37" s="39">
        <f>'Jan 2026'!AL37</f>
        <v>1376</v>
      </c>
      <c r="G37" s="33"/>
      <c r="H37" s="33">
        <v>-6</v>
      </c>
      <c r="I37" s="33">
        <v>-396</v>
      </c>
      <c r="J37" s="33">
        <v>-9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>
        <v>-1</v>
      </c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11"/>
      <c r="AI37" s="38">
        <f t="shared" si="0"/>
        <v>964</v>
      </c>
    </row>
    <row r="38" spans="1:35" x14ac:dyDescent="0.25">
      <c r="A38" s="11" t="s">
        <v>31</v>
      </c>
      <c r="B38" s="31" t="s">
        <v>87</v>
      </c>
      <c r="C38" s="20" t="s">
        <v>88</v>
      </c>
      <c r="D38" s="11"/>
      <c r="E38" s="11"/>
      <c r="F38" s="39">
        <f>'Jan 2026'!AL38</f>
        <v>299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11"/>
      <c r="AI38" s="38">
        <f t="shared" si="0"/>
        <v>299</v>
      </c>
    </row>
    <row r="39" spans="1:35" x14ac:dyDescent="0.25">
      <c r="A39" s="11" t="s">
        <v>31</v>
      </c>
      <c r="B39" s="31" t="s">
        <v>89</v>
      </c>
      <c r="C39" s="20" t="s">
        <v>90</v>
      </c>
      <c r="D39" s="11"/>
      <c r="E39" s="11"/>
      <c r="F39" s="39">
        <f>'Jan 2026'!AL39</f>
        <v>165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11"/>
      <c r="AI39" s="38">
        <f t="shared" si="0"/>
        <v>165</v>
      </c>
    </row>
    <row r="40" spans="1:35" x14ac:dyDescent="0.25">
      <c r="A40" s="11" t="s">
        <v>31</v>
      </c>
      <c r="B40" s="31" t="s">
        <v>91</v>
      </c>
      <c r="C40" s="20" t="s">
        <v>92</v>
      </c>
      <c r="D40" s="11"/>
      <c r="E40" s="11"/>
      <c r="F40" s="39">
        <f>'Jan 2026'!AL40</f>
        <v>289</v>
      </c>
      <c r="G40" s="33"/>
      <c r="H40" s="33"/>
      <c r="I40" s="33"/>
      <c r="J40" s="33">
        <v>-21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>
        <v>-1</v>
      </c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11"/>
      <c r="AI40" s="38">
        <f t="shared" si="0"/>
        <v>267</v>
      </c>
    </row>
    <row r="41" spans="1:35" x14ac:dyDescent="0.25">
      <c r="A41" s="11" t="s">
        <v>31</v>
      </c>
      <c r="B41" s="31" t="s">
        <v>93</v>
      </c>
      <c r="C41" s="20" t="s">
        <v>94</v>
      </c>
      <c r="D41" s="11"/>
      <c r="E41" s="11"/>
      <c r="F41" s="39">
        <f>'Jan 2026'!AL41</f>
        <v>1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11"/>
      <c r="AI41" s="38">
        <f t="shared" si="0"/>
        <v>1</v>
      </c>
    </row>
    <row r="42" spans="1:35" x14ac:dyDescent="0.25">
      <c r="A42" s="11" t="s">
        <v>31</v>
      </c>
      <c r="B42" s="31" t="s">
        <v>95</v>
      </c>
      <c r="C42" s="20" t="s">
        <v>96</v>
      </c>
      <c r="D42" s="11"/>
      <c r="E42" s="11"/>
      <c r="F42" s="39">
        <f>'Jan 2026'!AL42</f>
        <v>356</v>
      </c>
      <c r="G42" s="33"/>
      <c r="H42" s="33">
        <v>-25</v>
      </c>
      <c r="I42" s="33">
        <v>-7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>
        <v>-1</v>
      </c>
      <c r="Z42" s="33"/>
      <c r="AA42" s="33"/>
      <c r="AB42" s="33"/>
      <c r="AC42" s="33"/>
      <c r="AD42" s="33"/>
      <c r="AE42" s="33"/>
      <c r="AF42" s="33"/>
      <c r="AG42" s="33"/>
      <c r="AH42" s="11"/>
      <c r="AI42" s="38">
        <f t="shared" si="0"/>
        <v>323</v>
      </c>
    </row>
    <row r="43" spans="1:35" x14ac:dyDescent="0.25">
      <c r="A43" s="11" t="s">
        <v>31</v>
      </c>
      <c r="B43" s="31" t="s">
        <v>97</v>
      </c>
      <c r="C43" s="20" t="s">
        <v>98</v>
      </c>
      <c r="D43" s="11"/>
      <c r="E43" s="11"/>
      <c r="F43" s="39">
        <f>'Jan 2026'!AL43</f>
        <v>1901</v>
      </c>
      <c r="G43" s="33"/>
      <c r="H43" s="33">
        <v>-50</v>
      </c>
      <c r="I43" s="33">
        <v>-21</v>
      </c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>
        <v>-1272</v>
      </c>
      <c r="W43" s="33"/>
      <c r="X43" s="33"/>
      <c r="Y43" s="33">
        <v>-2</v>
      </c>
      <c r="Z43" s="33"/>
      <c r="AA43" s="33"/>
      <c r="AB43" s="33"/>
      <c r="AC43" s="33"/>
      <c r="AD43" s="33"/>
      <c r="AE43" s="33"/>
      <c r="AF43" s="33"/>
      <c r="AG43" s="33"/>
      <c r="AH43" s="11"/>
      <c r="AI43" s="38">
        <f t="shared" si="0"/>
        <v>556</v>
      </c>
    </row>
    <row r="44" spans="1:35" x14ac:dyDescent="0.25">
      <c r="A44" s="11" t="s">
        <v>31</v>
      </c>
      <c r="B44" s="31" t="s">
        <v>99</v>
      </c>
      <c r="C44" s="20" t="s">
        <v>100</v>
      </c>
      <c r="D44" s="11"/>
      <c r="E44" s="11"/>
      <c r="F44" s="39">
        <f>'Jan 2026'!AL44</f>
        <v>1954</v>
      </c>
      <c r="G44" s="33"/>
      <c r="H44" s="33">
        <v>-25</v>
      </c>
      <c r="I44" s="33">
        <v>-21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>
        <v>-1696</v>
      </c>
      <c r="W44" s="33"/>
      <c r="X44" s="33"/>
      <c r="Y44" s="33">
        <v>-1</v>
      </c>
      <c r="Z44" s="33"/>
      <c r="AA44" s="33"/>
      <c r="AB44" s="33"/>
      <c r="AC44" s="33"/>
      <c r="AD44" s="33"/>
      <c r="AE44" s="33"/>
      <c r="AF44" s="33"/>
      <c r="AG44" s="33"/>
      <c r="AH44" s="11"/>
      <c r="AI44" s="38">
        <f t="shared" si="0"/>
        <v>211</v>
      </c>
    </row>
    <row r="45" spans="1:35" x14ac:dyDescent="0.25">
      <c r="A45" s="11" t="s">
        <v>31</v>
      </c>
      <c r="B45" s="31" t="s">
        <v>101</v>
      </c>
      <c r="C45" s="20" t="s">
        <v>102</v>
      </c>
      <c r="D45" s="11"/>
      <c r="E45" s="11"/>
      <c r="F45" s="39">
        <f>'Jan 2026'!AL45</f>
        <v>92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11"/>
      <c r="AI45" s="38">
        <f t="shared" si="0"/>
        <v>92</v>
      </c>
    </row>
    <row r="46" spans="1:35" x14ac:dyDescent="0.25">
      <c r="A46" s="11" t="s">
        <v>31</v>
      </c>
      <c r="B46" s="31" t="s">
        <v>103</v>
      </c>
      <c r="C46" s="20" t="s">
        <v>104</v>
      </c>
      <c r="D46" s="11"/>
      <c r="E46" s="11"/>
      <c r="F46" s="39">
        <f>'Jan 2026'!AL46</f>
        <v>2600</v>
      </c>
      <c r="G46" s="33"/>
      <c r="H46" s="33">
        <v>-25</v>
      </c>
      <c r="I46" s="33">
        <v>-28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>
        <v>-1696</v>
      </c>
      <c r="W46" s="33"/>
      <c r="X46" s="33"/>
      <c r="Y46" s="33">
        <v>-1</v>
      </c>
      <c r="Z46" s="33"/>
      <c r="AA46" s="33"/>
      <c r="AB46" s="33"/>
      <c r="AC46" s="33"/>
      <c r="AD46" s="33"/>
      <c r="AE46" s="33"/>
      <c r="AF46" s="33"/>
      <c r="AG46" s="33"/>
      <c r="AH46" s="11"/>
      <c r="AI46" s="38">
        <f t="shared" si="0"/>
        <v>850</v>
      </c>
    </row>
    <row r="47" spans="1:35" x14ac:dyDescent="0.25">
      <c r="A47" s="11" t="s">
        <v>31</v>
      </c>
      <c r="B47" s="31" t="s">
        <v>105</v>
      </c>
      <c r="C47" s="20" t="s">
        <v>106</v>
      </c>
      <c r="D47" s="11"/>
      <c r="E47" s="11"/>
      <c r="F47" s="39">
        <f>'Jan 2026'!AL47</f>
        <v>684</v>
      </c>
      <c r="G47" s="33"/>
      <c r="H47" s="33">
        <v>-25</v>
      </c>
      <c r="I47" s="33">
        <v>-7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>
        <v>-424</v>
      </c>
      <c r="W47" s="33"/>
      <c r="X47" s="33"/>
      <c r="Y47" s="33">
        <v>-1</v>
      </c>
      <c r="Z47" s="33"/>
      <c r="AA47" s="33"/>
      <c r="AB47" s="33"/>
      <c r="AC47" s="33"/>
      <c r="AD47" s="33"/>
      <c r="AE47" s="33"/>
      <c r="AF47" s="33"/>
      <c r="AG47" s="33"/>
      <c r="AH47" s="11"/>
      <c r="AI47" s="38">
        <f t="shared" si="0"/>
        <v>227</v>
      </c>
    </row>
    <row r="48" spans="1:35" x14ac:dyDescent="0.25">
      <c r="A48" s="11" t="s">
        <v>31</v>
      </c>
      <c r="B48" s="31" t="s">
        <v>107</v>
      </c>
      <c r="C48" s="20" t="s">
        <v>108</v>
      </c>
      <c r="D48" s="11"/>
      <c r="E48" s="11"/>
      <c r="F48" s="39">
        <f>'Jan 2026'!AL48</f>
        <v>4299</v>
      </c>
      <c r="G48" s="33"/>
      <c r="H48" s="33">
        <v>-75</v>
      </c>
      <c r="I48" s="33">
        <v>-14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>
        <v>-3400</v>
      </c>
      <c r="W48" s="33"/>
      <c r="X48" s="33"/>
      <c r="Y48" s="33">
        <v>-3</v>
      </c>
      <c r="Z48" s="33"/>
      <c r="AA48" s="33"/>
      <c r="AB48" s="33"/>
      <c r="AC48" s="33"/>
      <c r="AD48" s="33"/>
      <c r="AE48" s="33"/>
      <c r="AF48" s="33"/>
      <c r="AG48" s="33"/>
      <c r="AH48" s="11"/>
      <c r="AI48" s="38">
        <f t="shared" si="0"/>
        <v>807</v>
      </c>
    </row>
    <row r="49" spans="1:35" x14ac:dyDescent="0.25">
      <c r="A49" s="11" t="s">
        <v>210</v>
      </c>
      <c r="B49" s="31" t="s">
        <v>95</v>
      </c>
      <c r="C49" s="20" t="s">
        <v>109</v>
      </c>
      <c r="D49" s="11"/>
      <c r="E49" s="11"/>
      <c r="F49" s="39">
        <f>'Jan 2026'!AL49</f>
        <v>20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11"/>
      <c r="AI49" s="38">
        <f t="shared" si="0"/>
        <v>20</v>
      </c>
    </row>
    <row r="50" spans="1:35" x14ac:dyDescent="0.25">
      <c r="A50" s="11" t="s">
        <v>210</v>
      </c>
      <c r="B50" s="31" t="s">
        <v>97</v>
      </c>
      <c r="C50" s="20" t="s">
        <v>110</v>
      </c>
      <c r="D50" s="11"/>
      <c r="E50" s="11"/>
      <c r="F50" s="39">
        <f>'Jan 2026'!AL50</f>
        <v>20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11"/>
      <c r="AI50" s="38">
        <f t="shared" si="0"/>
        <v>20</v>
      </c>
    </row>
    <row r="51" spans="1:35" x14ac:dyDescent="0.25">
      <c r="A51" s="11" t="s">
        <v>31</v>
      </c>
      <c r="B51" s="31" t="s">
        <v>111</v>
      </c>
      <c r="C51" s="20" t="s">
        <v>112</v>
      </c>
      <c r="D51" s="11"/>
      <c r="E51" s="11"/>
      <c r="F51" s="39">
        <f>'Jan 2026'!AL51</f>
        <v>1446</v>
      </c>
      <c r="G51" s="33"/>
      <c r="H51" s="33">
        <v>-50</v>
      </c>
      <c r="I51" s="33">
        <v>-14</v>
      </c>
      <c r="J51" s="33">
        <v>-4</v>
      </c>
      <c r="K51" s="33"/>
      <c r="L51" s="33"/>
      <c r="M51" s="33">
        <v>-100</v>
      </c>
      <c r="N51" s="33"/>
      <c r="O51" s="33"/>
      <c r="P51" s="33">
        <v>-50</v>
      </c>
      <c r="Q51" s="33"/>
      <c r="R51" s="33"/>
      <c r="S51" s="33"/>
      <c r="T51" s="33"/>
      <c r="U51" s="33"/>
      <c r="V51" s="33">
        <v>-424</v>
      </c>
      <c r="W51" s="33"/>
      <c r="X51" s="33"/>
      <c r="Y51" s="33">
        <v>-2</v>
      </c>
      <c r="Z51" s="33"/>
      <c r="AA51" s="33"/>
      <c r="AB51" s="33"/>
      <c r="AC51" s="33"/>
      <c r="AD51" s="33"/>
      <c r="AE51" s="33"/>
      <c r="AF51" s="33"/>
      <c r="AG51" s="33"/>
      <c r="AH51" s="11"/>
      <c r="AI51" s="38">
        <f t="shared" si="0"/>
        <v>802</v>
      </c>
    </row>
    <row r="52" spans="1:35" x14ac:dyDescent="0.25">
      <c r="A52" s="11" t="s">
        <v>31</v>
      </c>
      <c r="B52" s="31" t="s">
        <v>113</v>
      </c>
      <c r="C52" s="20" t="s">
        <v>114</v>
      </c>
      <c r="D52" s="11"/>
      <c r="E52" s="11"/>
      <c r="F52" s="39">
        <f>'Jan 2026'!AL52</f>
        <v>734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>
        <v>-1</v>
      </c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11"/>
      <c r="AI52" s="38">
        <f t="shared" si="0"/>
        <v>733</v>
      </c>
    </row>
    <row r="53" spans="1:35" x14ac:dyDescent="0.25">
      <c r="A53" s="11" t="s">
        <v>211</v>
      </c>
      <c r="B53" s="31" t="s">
        <v>115</v>
      </c>
      <c r="C53" s="20" t="s">
        <v>116</v>
      </c>
      <c r="D53" s="11"/>
      <c r="E53" s="11"/>
      <c r="F53" s="39">
        <f>'Jan 2026'!AL53</f>
        <v>711</v>
      </c>
      <c r="G53" s="33"/>
      <c r="H53" s="33"/>
      <c r="I53" s="33"/>
      <c r="J53" s="33">
        <v>-2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11"/>
      <c r="AI53" s="38">
        <f t="shared" si="0"/>
        <v>709</v>
      </c>
    </row>
    <row r="54" spans="1:35" x14ac:dyDescent="0.25">
      <c r="A54" s="11" t="s">
        <v>31</v>
      </c>
      <c r="B54" s="31" t="s">
        <v>117</v>
      </c>
      <c r="C54" s="20" t="s">
        <v>118</v>
      </c>
      <c r="D54" s="11"/>
      <c r="E54" s="11"/>
      <c r="F54" s="39">
        <f>'Jan 2026'!AL54</f>
        <v>569</v>
      </c>
      <c r="G54" s="33"/>
      <c r="H54" s="33">
        <v>-25</v>
      </c>
      <c r="I54" s="33">
        <v>-7</v>
      </c>
      <c r="J54" s="33">
        <v>-2</v>
      </c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>
        <v>-1</v>
      </c>
      <c r="Z54" s="33"/>
      <c r="AA54" s="33"/>
      <c r="AB54" s="33"/>
      <c r="AC54" s="33"/>
      <c r="AD54" s="33"/>
      <c r="AE54" s="33"/>
      <c r="AF54" s="33"/>
      <c r="AG54" s="33"/>
      <c r="AH54" s="11"/>
      <c r="AI54" s="38">
        <f t="shared" si="0"/>
        <v>534</v>
      </c>
    </row>
    <row r="55" spans="1:35" x14ac:dyDescent="0.25">
      <c r="A55" s="11" t="s">
        <v>31</v>
      </c>
      <c r="B55" s="31" t="s">
        <v>119</v>
      </c>
      <c r="C55" s="20" t="s">
        <v>120</v>
      </c>
      <c r="D55" s="11"/>
      <c r="E55" s="11"/>
      <c r="F55" s="39">
        <f>'Jan 2026'!AL55</f>
        <v>657</v>
      </c>
      <c r="G55" s="33"/>
      <c r="H55" s="33"/>
      <c r="J55" s="33">
        <f>-16+-16</f>
        <v>-32</v>
      </c>
      <c r="K55" s="33">
        <f>-12+-18+-50</f>
        <v>-80</v>
      </c>
      <c r="L55" s="33">
        <v>-20</v>
      </c>
      <c r="M55" s="33"/>
      <c r="N55" s="33"/>
      <c r="O55" s="33"/>
      <c r="P55" s="33"/>
      <c r="Q55" s="33"/>
      <c r="R55" s="33"/>
      <c r="S55" s="33">
        <f>-30+-30</f>
        <v>-60</v>
      </c>
      <c r="T55" s="33"/>
      <c r="U55" s="33"/>
      <c r="V55" s="33"/>
      <c r="W55" s="33"/>
      <c r="X55" s="33"/>
      <c r="Y55" s="33"/>
      <c r="Z55" s="33">
        <f>-44+-24+-24</f>
        <v>-92</v>
      </c>
      <c r="AA55" s="33"/>
      <c r="AB55" s="33"/>
      <c r="AC55" s="33"/>
      <c r="AD55" s="33">
        <f>-44+-44</f>
        <v>-88</v>
      </c>
      <c r="AE55" s="33"/>
      <c r="AF55" s="33"/>
      <c r="AG55" s="33"/>
      <c r="AH55" s="11"/>
      <c r="AI55" s="38">
        <f t="shared" si="0"/>
        <v>285</v>
      </c>
    </row>
    <row r="56" spans="1:35" x14ac:dyDescent="0.25">
      <c r="A56" s="11" t="s">
        <v>211</v>
      </c>
      <c r="B56" s="31" t="s">
        <v>121</v>
      </c>
      <c r="C56" s="20" t="s">
        <v>122</v>
      </c>
      <c r="D56" s="11"/>
      <c r="E56" s="11"/>
      <c r="F56" s="39">
        <f>'Jan 2026'!AL56</f>
        <v>1201</v>
      </c>
      <c r="G56" s="33"/>
      <c r="H56" s="33">
        <f>-12+-24+-40+-32+-34</f>
        <v>-142</v>
      </c>
      <c r="I56" s="33">
        <v>-792</v>
      </c>
      <c r="J56" s="33">
        <v>-18</v>
      </c>
      <c r="K56" s="33"/>
      <c r="L56" s="33"/>
      <c r="M56" s="33"/>
      <c r="N56" s="33"/>
      <c r="O56" s="33"/>
      <c r="P56" s="33"/>
      <c r="Q56" s="33">
        <v>-34</v>
      </c>
      <c r="R56" s="33"/>
      <c r="S56" s="33"/>
      <c r="T56" s="33"/>
      <c r="U56" s="33"/>
      <c r="V56" s="33">
        <v>-5</v>
      </c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11"/>
      <c r="AI56" s="38">
        <f t="shared" si="0"/>
        <v>210</v>
      </c>
    </row>
    <row r="57" spans="1:35" x14ac:dyDescent="0.25">
      <c r="A57" s="11" t="s">
        <v>31</v>
      </c>
      <c r="B57" s="31" t="s">
        <v>123</v>
      </c>
      <c r="C57" s="20" t="s">
        <v>124</v>
      </c>
      <c r="D57" s="11"/>
      <c r="E57" s="11"/>
      <c r="F57" s="39">
        <f>'Jan 2026'!AL57</f>
        <v>424</v>
      </c>
      <c r="G57" s="33"/>
      <c r="H57" s="33"/>
      <c r="I57" s="33"/>
      <c r="J57" s="33">
        <f>-8+-8</f>
        <v>-16</v>
      </c>
      <c r="K57" s="33">
        <f>-6+-9+-25</f>
        <v>-40</v>
      </c>
      <c r="L57" s="33">
        <v>-10</v>
      </c>
      <c r="M57" s="33"/>
      <c r="N57" s="33"/>
      <c r="O57" s="33"/>
      <c r="P57" s="33"/>
      <c r="Q57" s="33"/>
      <c r="R57" s="33"/>
      <c r="S57" s="33">
        <f>-15+-15</f>
        <v>-30</v>
      </c>
      <c r="T57" s="33"/>
      <c r="U57" s="33"/>
      <c r="V57" s="33"/>
      <c r="W57" s="33"/>
      <c r="X57" s="33"/>
      <c r="Y57" s="33"/>
      <c r="Z57" s="33">
        <f>-22+-12+-12</f>
        <v>-46</v>
      </c>
      <c r="AA57" s="33"/>
      <c r="AB57" s="33"/>
      <c r="AC57" s="33"/>
      <c r="AD57" s="33">
        <f>-22+-22</f>
        <v>-44</v>
      </c>
      <c r="AE57" s="33"/>
      <c r="AF57" s="33"/>
      <c r="AG57" s="33"/>
      <c r="AH57" s="11"/>
      <c r="AI57" s="38">
        <f t="shared" si="0"/>
        <v>238</v>
      </c>
    </row>
    <row r="58" spans="1:35" x14ac:dyDescent="0.25">
      <c r="A58" s="11" t="s">
        <v>211</v>
      </c>
      <c r="B58" s="31" t="s">
        <v>125</v>
      </c>
      <c r="C58" s="20" t="s">
        <v>126</v>
      </c>
      <c r="D58" s="11"/>
      <c r="E58" s="11"/>
      <c r="F58" s="39">
        <f>'Jan 2026'!AL58</f>
        <v>457</v>
      </c>
      <c r="G58" s="33"/>
      <c r="H58" s="33">
        <v>-6</v>
      </c>
      <c r="I58" s="33">
        <v>-396</v>
      </c>
      <c r="J58" s="33">
        <v>-9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11"/>
      <c r="AI58" s="38">
        <f t="shared" si="0"/>
        <v>46</v>
      </c>
    </row>
    <row r="59" spans="1:35" x14ac:dyDescent="0.25">
      <c r="A59" s="11" t="s">
        <v>31</v>
      </c>
      <c r="B59" s="31" t="s">
        <v>127</v>
      </c>
      <c r="C59" s="20" t="s">
        <v>128</v>
      </c>
      <c r="D59" s="11"/>
      <c r="E59" s="11"/>
      <c r="F59" s="39">
        <f>'Jan 2026'!AL59</f>
        <v>0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11"/>
      <c r="AI59" s="38">
        <f t="shared" si="0"/>
        <v>0</v>
      </c>
    </row>
    <row r="60" spans="1:35" x14ac:dyDescent="0.25">
      <c r="A60" s="11" t="s">
        <v>31</v>
      </c>
      <c r="B60" s="31" t="s">
        <v>129</v>
      </c>
      <c r="C60" s="20" t="s">
        <v>130</v>
      </c>
      <c r="D60" s="11"/>
      <c r="E60" s="11"/>
      <c r="F60" s="39">
        <f>'Jan 2026'!AL60</f>
        <v>0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11"/>
      <c r="AI60" s="38">
        <f t="shared" si="0"/>
        <v>0</v>
      </c>
    </row>
    <row r="61" spans="1:35" x14ac:dyDescent="0.25">
      <c r="A61" s="11" t="s">
        <v>31</v>
      </c>
      <c r="B61" s="31" t="s">
        <v>131</v>
      </c>
      <c r="C61" s="20" t="s">
        <v>132</v>
      </c>
      <c r="D61" s="11"/>
      <c r="E61" s="11"/>
      <c r="F61" s="39">
        <f>'Jan 2026'!AL61</f>
        <v>313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4">
        <v>750</v>
      </c>
      <c r="AA61" s="33">
        <v>-600</v>
      </c>
      <c r="AB61" s="33"/>
      <c r="AC61" s="33"/>
      <c r="AD61" s="33"/>
      <c r="AE61" s="33"/>
      <c r="AF61" s="33"/>
      <c r="AG61" s="33"/>
      <c r="AH61" s="11">
        <f>-69+-52</f>
        <v>-121</v>
      </c>
      <c r="AI61" s="38">
        <f t="shared" si="0"/>
        <v>342</v>
      </c>
    </row>
    <row r="62" spans="1:35" x14ac:dyDescent="0.25">
      <c r="A62" s="11" t="s">
        <v>211</v>
      </c>
      <c r="B62" s="31" t="s">
        <v>133</v>
      </c>
      <c r="C62" s="20" t="s">
        <v>134</v>
      </c>
      <c r="D62" s="11"/>
      <c r="E62" s="11"/>
      <c r="F62" s="39">
        <f>'Jan 2026'!AL62</f>
        <v>8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11"/>
      <c r="AI62" s="38">
        <f t="shared" si="0"/>
        <v>8</v>
      </c>
    </row>
    <row r="63" spans="1:35" x14ac:dyDescent="0.25">
      <c r="A63" s="11"/>
      <c r="B63" s="31" t="s">
        <v>135</v>
      </c>
      <c r="C63" s="20" t="s">
        <v>136</v>
      </c>
      <c r="D63" s="11"/>
      <c r="E63" s="11"/>
      <c r="F63" s="39">
        <f>'Jan 2026'!AL63</f>
        <v>0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11"/>
      <c r="AI63" s="38">
        <f t="shared" si="0"/>
        <v>0</v>
      </c>
    </row>
    <row r="64" spans="1:35" x14ac:dyDescent="0.25">
      <c r="A64" s="11"/>
      <c r="B64" s="31" t="s">
        <v>137</v>
      </c>
      <c r="C64" s="20" t="s">
        <v>138</v>
      </c>
      <c r="D64" s="11"/>
      <c r="E64" s="11"/>
      <c r="F64" s="39">
        <f>'Jan 2026'!AL64</f>
        <v>19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>
        <v>-1</v>
      </c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11"/>
      <c r="AI64" s="38">
        <f t="shared" si="0"/>
        <v>18</v>
      </c>
    </row>
    <row r="65" spans="1:35" x14ac:dyDescent="0.25">
      <c r="A65" s="11" t="s">
        <v>31</v>
      </c>
      <c r="B65" s="31" t="s">
        <v>139</v>
      </c>
      <c r="C65" s="20" t="s">
        <v>140</v>
      </c>
      <c r="D65" s="11"/>
      <c r="E65" s="11"/>
      <c r="F65" s="39">
        <f>'Jan 2026'!AL65</f>
        <v>550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11"/>
      <c r="AI65" s="38">
        <f t="shared" si="0"/>
        <v>550</v>
      </c>
    </row>
    <row r="66" spans="1:35" x14ac:dyDescent="0.25">
      <c r="A66" s="11" t="s">
        <v>31</v>
      </c>
      <c r="B66" s="31" t="s">
        <v>141</v>
      </c>
      <c r="C66" s="20" t="s">
        <v>142</v>
      </c>
      <c r="D66" s="11"/>
      <c r="E66" s="11"/>
      <c r="F66" s="39">
        <f>'Jan 2026'!AL66</f>
        <v>1235</v>
      </c>
      <c r="G66" s="33"/>
      <c r="H66" s="33">
        <v>-50</v>
      </c>
      <c r="I66" s="33">
        <v>-14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>
        <v>-848</v>
      </c>
      <c r="W66" s="33"/>
      <c r="X66" s="33"/>
      <c r="Y66" s="33">
        <v>-2</v>
      </c>
      <c r="Z66" s="33"/>
      <c r="AA66" s="33"/>
      <c r="AB66" s="33"/>
      <c r="AC66" s="33"/>
      <c r="AD66" s="33"/>
      <c r="AE66" s="33"/>
      <c r="AF66" s="33"/>
      <c r="AG66" s="33"/>
      <c r="AH66" s="11"/>
      <c r="AI66" s="38">
        <f t="shared" si="0"/>
        <v>321</v>
      </c>
    </row>
    <row r="67" spans="1:35" x14ac:dyDescent="0.25">
      <c r="A67" s="11" t="s">
        <v>31</v>
      </c>
      <c r="B67" s="31" t="s">
        <v>143</v>
      </c>
      <c r="C67" s="20" t="s">
        <v>144</v>
      </c>
      <c r="D67" s="11"/>
      <c r="E67" s="11"/>
      <c r="F67" s="39">
        <f>'Jan 2026'!AL67</f>
        <v>405</v>
      </c>
      <c r="G67" s="33"/>
      <c r="H67" s="33">
        <v>-50</v>
      </c>
      <c r="I67" s="33">
        <v>-5</v>
      </c>
      <c r="J67" s="33"/>
      <c r="K67" s="33"/>
      <c r="L67" s="33"/>
      <c r="M67" s="33"/>
      <c r="N67" s="33"/>
      <c r="O67" s="33"/>
      <c r="P67" s="33"/>
      <c r="Q67" s="33"/>
      <c r="R67" s="34">
        <v>900</v>
      </c>
      <c r="S67" s="33"/>
      <c r="T67" s="33"/>
      <c r="U67" s="33"/>
      <c r="V67" s="33">
        <v>-424</v>
      </c>
      <c r="W67" s="33"/>
      <c r="X67" s="33"/>
      <c r="Y67" s="33">
        <v>-2</v>
      </c>
      <c r="Z67" s="33"/>
      <c r="AA67" s="33"/>
      <c r="AB67" s="33"/>
      <c r="AC67" s="33"/>
      <c r="AD67" s="33"/>
      <c r="AE67" s="33"/>
      <c r="AF67" s="33"/>
      <c r="AG67" s="33"/>
      <c r="AH67" s="11"/>
      <c r="AI67" s="38">
        <f t="shared" si="0"/>
        <v>824</v>
      </c>
    </row>
    <row r="68" spans="1:35" x14ac:dyDescent="0.25">
      <c r="A68" s="11" t="s">
        <v>31</v>
      </c>
      <c r="B68" s="31" t="s">
        <v>145</v>
      </c>
      <c r="C68" s="20" t="s">
        <v>146</v>
      </c>
      <c r="D68" s="11"/>
      <c r="E68" s="11"/>
      <c r="F68" s="39">
        <f>'Jan 2026'!AL68</f>
        <v>43</v>
      </c>
      <c r="G68" s="33"/>
      <c r="H68" s="33">
        <v>-25</v>
      </c>
      <c r="I68" s="33">
        <v>-7</v>
      </c>
      <c r="J68" s="33"/>
      <c r="K68" s="33"/>
      <c r="L68" s="33"/>
      <c r="M68" s="33"/>
      <c r="N68" s="33"/>
      <c r="O68" s="33"/>
      <c r="P68" s="33"/>
      <c r="Q68" s="33"/>
      <c r="R68" s="34">
        <v>900</v>
      </c>
      <c r="S68" s="33"/>
      <c r="T68" s="33"/>
      <c r="U68" s="33"/>
      <c r="V68" s="33">
        <v>-424</v>
      </c>
      <c r="W68" s="33"/>
      <c r="X68" s="33"/>
      <c r="Y68" s="33">
        <v>-1</v>
      </c>
      <c r="Z68" s="33"/>
      <c r="AA68" s="33"/>
      <c r="AB68" s="33"/>
      <c r="AC68" s="33"/>
      <c r="AD68" s="33"/>
      <c r="AE68" s="33"/>
      <c r="AF68" s="33"/>
      <c r="AG68" s="33"/>
      <c r="AH68" s="11"/>
      <c r="AI68" s="38">
        <f t="shared" si="0"/>
        <v>486</v>
      </c>
    </row>
    <row r="69" spans="1:35" x14ac:dyDescent="0.25">
      <c r="A69" s="11" t="s">
        <v>31</v>
      </c>
      <c r="B69" s="31" t="s">
        <v>147</v>
      </c>
      <c r="C69" s="20" t="s">
        <v>148</v>
      </c>
      <c r="D69" s="11"/>
      <c r="E69" s="11"/>
      <c r="F69" s="39">
        <f>'Jan 2026'!AL69</f>
        <v>67</v>
      </c>
      <c r="G69" s="33"/>
      <c r="H69" s="33">
        <v>-25</v>
      </c>
      <c r="I69" s="33">
        <v>-7</v>
      </c>
      <c r="J69" s="33"/>
      <c r="K69" s="33"/>
      <c r="L69" s="33"/>
      <c r="M69" s="33"/>
      <c r="N69" s="33"/>
      <c r="O69" s="33"/>
      <c r="P69" s="33"/>
      <c r="Q69" s="33"/>
      <c r="R69" s="34">
        <v>900</v>
      </c>
      <c r="S69" s="33"/>
      <c r="T69" s="33"/>
      <c r="U69" s="33"/>
      <c r="V69" s="33">
        <v>-424</v>
      </c>
      <c r="W69" s="33"/>
      <c r="X69" s="33"/>
      <c r="Y69" s="33">
        <v>-1</v>
      </c>
      <c r="Z69" s="33"/>
      <c r="AA69" s="33"/>
      <c r="AB69" s="33"/>
      <c r="AC69" s="33"/>
      <c r="AD69" s="33"/>
      <c r="AE69" s="33"/>
      <c r="AF69" s="33"/>
      <c r="AG69" s="33"/>
      <c r="AH69" s="11"/>
      <c r="AI69" s="38">
        <f t="shared" si="0"/>
        <v>510</v>
      </c>
    </row>
    <row r="70" spans="1:35" x14ac:dyDescent="0.25">
      <c r="A70" s="11" t="s">
        <v>31</v>
      </c>
      <c r="B70" s="31" t="s">
        <v>149</v>
      </c>
      <c r="C70" s="20" t="s">
        <v>150</v>
      </c>
      <c r="D70" s="11"/>
      <c r="E70" s="11"/>
      <c r="F70" s="39">
        <f>'Jan 2026'!AL70</f>
        <v>1047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11"/>
      <c r="AI70" s="38">
        <f t="shared" si="0"/>
        <v>1047</v>
      </c>
    </row>
    <row r="71" spans="1:35" x14ac:dyDescent="0.25">
      <c r="A71" s="11" t="s">
        <v>211</v>
      </c>
      <c r="B71" s="31" t="s">
        <v>151</v>
      </c>
      <c r="C71" s="20" t="s">
        <v>152</v>
      </c>
      <c r="D71" s="11"/>
      <c r="E71" s="11"/>
      <c r="F71" s="39">
        <f>'Jan 2026'!AL71</f>
        <v>764</v>
      </c>
      <c r="G71" s="33"/>
      <c r="H71" s="33"/>
      <c r="I71" s="33"/>
      <c r="J71" s="33">
        <v>-4</v>
      </c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11"/>
      <c r="AI71" s="38">
        <f t="shared" si="0"/>
        <v>760</v>
      </c>
    </row>
    <row r="72" spans="1:35" x14ac:dyDescent="0.25">
      <c r="A72" s="11" t="s">
        <v>211</v>
      </c>
      <c r="B72" s="31" t="s">
        <v>153</v>
      </c>
      <c r="C72" s="20" t="s">
        <v>154</v>
      </c>
      <c r="D72" s="11"/>
      <c r="E72" s="11"/>
      <c r="F72" s="39">
        <f>'Jan 2026'!AL72</f>
        <v>1213</v>
      </c>
      <c r="G72" s="33"/>
      <c r="H72" s="33"/>
      <c r="I72" s="33"/>
      <c r="J72" s="33">
        <v>-2</v>
      </c>
      <c r="K72" s="33"/>
      <c r="L72" s="33"/>
      <c r="M72" s="33"/>
      <c r="N72" s="33"/>
      <c r="O72" s="33"/>
      <c r="P72" s="33"/>
      <c r="Q72" s="33"/>
      <c r="R72" s="33"/>
      <c r="S72" s="33">
        <v>-15</v>
      </c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11"/>
      <c r="AI72" s="38">
        <f t="shared" si="0"/>
        <v>1196</v>
      </c>
    </row>
    <row r="73" spans="1:35" x14ac:dyDescent="0.25">
      <c r="A73" s="11" t="s">
        <v>211</v>
      </c>
      <c r="B73" s="31" t="s">
        <v>155</v>
      </c>
      <c r="C73" s="20" t="s">
        <v>156</v>
      </c>
      <c r="D73" s="11"/>
      <c r="E73" s="11"/>
      <c r="F73" s="39">
        <f>'Jan 2026'!AL73</f>
        <v>667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11"/>
      <c r="AI73" s="38">
        <f t="shared" si="0"/>
        <v>667</v>
      </c>
    </row>
    <row r="74" spans="1:35" x14ac:dyDescent="0.25">
      <c r="A74" s="11" t="s">
        <v>211</v>
      </c>
      <c r="B74" s="31" t="s">
        <v>157</v>
      </c>
      <c r="C74" s="20" t="s">
        <v>158</v>
      </c>
      <c r="D74" s="11"/>
      <c r="E74" s="11"/>
      <c r="F74" s="39">
        <f>'Jan 2026'!AL74</f>
        <v>283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11"/>
      <c r="AI74" s="38">
        <f t="shared" si="0"/>
        <v>283</v>
      </c>
    </row>
    <row r="75" spans="1:35" x14ac:dyDescent="0.25">
      <c r="A75" s="11"/>
      <c r="B75" s="31" t="s">
        <v>159</v>
      </c>
      <c r="C75" s="20" t="s">
        <v>160</v>
      </c>
      <c r="D75" s="11"/>
      <c r="E75" s="11"/>
      <c r="F75" s="39">
        <f>'Jan 2026'!AL75</f>
        <v>100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11"/>
      <c r="AI75" s="38">
        <f t="shared" si="0"/>
        <v>100</v>
      </c>
    </row>
    <row r="76" spans="1:35" x14ac:dyDescent="0.25">
      <c r="A76" s="11" t="s">
        <v>211</v>
      </c>
      <c r="B76" s="31" t="s">
        <v>161</v>
      </c>
      <c r="C76" s="20" t="s">
        <v>162</v>
      </c>
      <c r="D76" s="11"/>
      <c r="E76" s="11"/>
      <c r="F76" s="39">
        <f>'Jan 2026'!AL76</f>
        <v>168</v>
      </c>
      <c r="G76" s="33"/>
      <c r="H76" s="33"/>
      <c r="I76" s="33"/>
      <c r="J76" s="33">
        <v>-4</v>
      </c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11"/>
      <c r="AI76" s="38">
        <f t="shared" si="0"/>
        <v>164</v>
      </c>
    </row>
    <row r="77" spans="1:35" x14ac:dyDescent="0.25">
      <c r="A77" s="11" t="s">
        <v>211</v>
      </c>
      <c r="B77" s="31" t="s">
        <v>163</v>
      </c>
      <c r="C77" s="20" t="s">
        <v>164</v>
      </c>
      <c r="D77" s="11"/>
      <c r="E77" s="11"/>
      <c r="F77" s="39">
        <f>'Jan 2026'!AL77</f>
        <v>740</v>
      </c>
      <c r="G77" s="33"/>
      <c r="H77" s="33">
        <f>-6</f>
        <v>-6</v>
      </c>
      <c r="I77" s="33">
        <f>-396+-6</f>
        <v>-402</v>
      </c>
      <c r="J77" s="33">
        <f>-9+-8+-32</f>
        <v>-49</v>
      </c>
      <c r="K77" s="33">
        <f>-6+-9+-25</f>
        <v>-40</v>
      </c>
      <c r="L77" s="33">
        <v>-10</v>
      </c>
      <c r="M77" s="33"/>
      <c r="N77" s="33"/>
      <c r="O77" s="33"/>
      <c r="P77" s="33"/>
      <c r="Q77" s="33"/>
      <c r="R77" s="33"/>
      <c r="S77" s="33">
        <f>-15+-15</f>
        <v>-30</v>
      </c>
      <c r="T77" s="33"/>
      <c r="U77" s="33"/>
      <c r="V77" s="33">
        <v>-1</v>
      </c>
      <c r="W77" s="33"/>
      <c r="X77" s="33"/>
      <c r="Y77" s="33"/>
      <c r="Z77" s="33">
        <f>-22+-12+-12</f>
        <v>-46</v>
      </c>
      <c r="AA77" s="34">
        <v>305</v>
      </c>
      <c r="AB77" s="33"/>
      <c r="AC77" s="33"/>
      <c r="AD77" s="33">
        <f>-22+-22</f>
        <v>-44</v>
      </c>
      <c r="AE77" s="33"/>
      <c r="AF77" s="33"/>
      <c r="AG77" s="33"/>
      <c r="AH77" s="11"/>
      <c r="AI77" s="38">
        <f t="shared" ref="AI77:AI110" si="1">F77+SUM(G77:AH77)</f>
        <v>417</v>
      </c>
    </row>
    <row r="78" spans="1:35" x14ac:dyDescent="0.25">
      <c r="A78" s="11" t="s">
        <v>211</v>
      </c>
      <c r="B78" s="31" t="s">
        <v>165</v>
      </c>
      <c r="C78" s="20" t="s">
        <v>166</v>
      </c>
      <c r="D78" s="11"/>
      <c r="E78" s="11"/>
      <c r="F78" s="39">
        <f>'Jan 2026'!AL78</f>
        <v>1437</v>
      </c>
      <c r="G78" s="33"/>
      <c r="H78" s="33">
        <v>-25</v>
      </c>
      <c r="I78" s="33">
        <v>-7</v>
      </c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>
        <v>-424</v>
      </c>
      <c r="W78" s="33"/>
      <c r="X78" s="33"/>
      <c r="Y78" s="33">
        <v>-1</v>
      </c>
      <c r="Z78" s="33"/>
      <c r="AA78" s="33"/>
      <c r="AB78" s="33"/>
      <c r="AC78" s="33"/>
      <c r="AD78" s="33"/>
      <c r="AE78" s="33"/>
      <c r="AF78" s="33"/>
      <c r="AG78" s="33"/>
      <c r="AH78" s="11"/>
      <c r="AI78" s="38">
        <f t="shared" si="1"/>
        <v>980</v>
      </c>
    </row>
    <row r="79" spans="1:35" x14ac:dyDescent="0.25">
      <c r="A79" s="11" t="s">
        <v>211</v>
      </c>
      <c r="B79" s="31" t="s">
        <v>167</v>
      </c>
      <c r="C79" s="20" t="s">
        <v>168</v>
      </c>
      <c r="D79" s="11"/>
      <c r="E79" s="11"/>
      <c r="F79" s="39">
        <f>'Jan 2026'!AL79</f>
        <v>16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11"/>
      <c r="AI79" s="38">
        <f t="shared" si="1"/>
        <v>16</v>
      </c>
    </row>
    <row r="80" spans="1:35" x14ac:dyDescent="0.25">
      <c r="A80" s="11" t="s">
        <v>210</v>
      </c>
      <c r="B80" s="31" t="s">
        <v>169</v>
      </c>
      <c r="C80" s="20" t="s">
        <v>170</v>
      </c>
      <c r="D80" s="11"/>
      <c r="E80" s="11"/>
      <c r="F80" s="39">
        <f>'Jan 2026'!AL80</f>
        <v>693</v>
      </c>
      <c r="G80" s="33"/>
      <c r="H80" s="33"/>
      <c r="I80" s="33">
        <v>-21</v>
      </c>
      <c r="J80" s="33">
        <v>-16</v>
      </c>
      <c r="K80" s="33"/>
      <c r="L80" s="33"/>
      <c r="M80" s="33"/>
      <c r="N80" s="33"/>
      <c r="O80" s="33"/>
      <c r="P80" s="33"/>
      <c r="Q80" s="33"/>
      <c r="R80" s="33"/>
      <c r="S80" s="33">
        <v>-30</v>
      </c>
      <c r="T80" s="33"/>
      <c r="U80" s="33"/>
      <c r="V80" s="33"/>
      <c r="W80" s="33"/>
      <c r="X80" s="33"/>
      <c r="Y80" s="33"/>
      <c r="Z80" s="33">
        <v>-24</v>
      </c>
      <c r="AA80" s="33"/>
      <c r="AB80" s="33"/>
      <c r="AC80" s="33"/>
      <c r="AD80" s="33">
        <v>-22</v>
      </c>
      <c r="AE80" s="33"/>
      <c r="AF80" s="33"/>
      <c r="AG80" s="33"/>
      <c r="AH80" s="11"/>
      <c r="AI80" s="38">
        <f t="shared" si="1"/>
        <v>580</v>
      </c>
    </row>
    <row r="81" spans="1:35" x14ac:dyDescent="0.25">
      <c r="A81" s="11" t="s">
        <v>210</v>
      </c>
      <c r="B81" s="31" t="s">
        <v>171</v>
      </c>
      <c r="C81" s="20" t="s">
        <v>172</v>
      </c>
      <c r="D81" s="11"/>
      <c r="E81" s="11"/>
      <c r="F81" s="39">
        <f>'Jan 2026'!AL81</f>
        <v>334</v>
      </c>
      <c r="G81" s="33"/>
      <c r="H81" s="33"/>
      <c r="I81" s="33"/>
      <c r="J81" s="33">
        <v>-2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11"/>
      <c r="AI81" s="38">
        <f t="shared" si="1"/>
        <v>332</v>
      </c>
    </row>
    <row r="82" spans="1:35" x14ac:dyDescent="0.25">
      <c r="A82" s="11"/>
      <c r="B82" s="31" t="s">
        <v>173</v>
      </c>
      <c r="C82" s="20" t="s">
        <v>174</v>
      </c>
      <c r="D82" s="11"/>
      <c r="E82" s="11"/>
      <c r="F82" s="39">
        <f>'Jan 2026'!AL82</f>
        <v>0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11"/>
      <c r="AI82" s="38">
        <f t="shared" si="1"/>
        <v>0</v>
      </c>
    </row>
    <row r="83" spans="1:35" x14ac:dyDescent="0.25">
      <c r="A83" s="11" t="s">
        <v>210</v>
      </c>
      <c r="B83" s="31" t="s">
        <v>175</v>
      </c>
      <c r="C83" s="20" t="s">
        <v>176</v>
      </c>
      <c r="D83" s="11"/>
      <c r="E83" s="11"/>
      <c r="F83" s="39">
        <f>'Jan 2026'!AL83</f>
        <v>286</v>
      </c>
      <c r="G83" s="33"/>
      <c r="H83" s="33"/>
      <c r="I83" s="33"/>
      <c r="J83" s="33">
        <v>-2</v>
      </c>
      <c r="K83" s="33"/>
      <c r="L83" s="33"/>
      <c r="M83" s="33"/>
      <c r="N83" s="33"/>
      <c r="O83" s="33"/>
      <c r="P83" s="33"/>
      <c r="Q83" s="33"/>
      <c r="R83" s="33"/>
      <c r="S83" s="33">
        <v>-15</v>
      </c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11"/>
      <c r="AI83" s="38">
        <f t="shared" si="1"/>
        <v>269</v>
      </c>
    </row>
    <row r="84" spans="1:35" x14ac:dyDescent="0.25">
      <c r="A84" s="11" t="s">
        <v>210</v>
      </c>
      <c r="B84" s="31" t="s">
        <v>177</v>
      </c>
      <c r="C84" s="20" t="s">
        <v>178</v>
      </c>
      <c r="D84" s="11"/>
      <c r="E84" s="11"/>
      <c r="F84" s="39">
        <f>'Jan 2026'!AL84</f>
        <v>66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11"/>
      <c r="AI84" s="38">
        <f t="shared" si="1"/>
        <v>66</v>
      </c>
    </row>
    <row r="85" spans="1:35" x14ac:dyDescent="0.25">
      <c r="A85" s="11"/>
      <c r="B85" s="31" t="s">
        <v>179</v>
      </c>
      <c r="C85" s="20" t="s">
        <v>180</v>
      </c>
      <c r="D85" s="11"/>
      <c r="E85" s="11"/>
      <c r="F85" s="39">
        <f>'Jan 2026'!AL85</f>
        <v>0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11"/>
      <c r="AI85" s="38">
        <f t="shared" si="1"/>
        <v>0</v>
      </c>
    </row>
    <row r="86" spans="1:35" x14ac:dyDescent="0.25">
      <c r="A86" s="11" t="s">
        <v>210</v>
      </c>
      <c r="B86" s="31" t="s">
        <v>181</v>
      </c>
      <c r="C86" s="20" t="s">
        <v>182</v>
      </c>
      <c r="D86" s="11"/>
      <c r="E86" s="11"/>
      <c r="F86" s="39">
        <f>'Jan 2026'!AL86</f>
        <v>129</v>
      </c>
      <c r="G86" s="33"/>
      <c r="H86" s="33"/>
      <c r="I86" s="33"/>
      <c r="J86" s="33">
        <v>-2</v>
      </c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11"/>
      <c r="AI86" s="38">
        <f t="shared" si="1"/>
        <v>127</v>
      </c>
    </row>
    <row r="87" spans="1:35" x14ac:dyDescent="0.25">
      <c r="A87" s="11"/>
      <c r="B87" s="31" t="s">
        <v>183</v>
      </c>
      <c r="C87" s="20" t="s">
        <v>184</v>
      </c>
      <c r="D87" s="11"/>
      <c r="E87" s="11"/>
      <c r="F87" s="39">
        <f>'Jan 2026'!AL87</f>
        <v>0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11"/>
      <c r="AI87" s="38">
        <f t="shared" si="1"/>
        <v>0</v>
      </c>
    </row>
    <row r="88" spans="1:35" x14ac:dyDescent="0.25">
      <c r="A88" s="11" t="s">
        <v>210</v>
      </c>
      <c r="B88" s="31" t="s">
        <v>177</v>
      </c>
      <c r="C88" s="20" t="s">
        <v>185</v>
      </c>
      <c r="D88" s="11"/>
      <c r="E88" s="11"/>
      <c r="F88" s="39">
        <f>'Jan 2026'!AL88</f>
        <v>20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11"/>
      <c r="AI88" s="38">
        <f t="shared" si="1"/>
        <v>20</v>
      </c>
    </row>
    <row r="89" spans="1:35" x14ac:dyDescent="0.25">
      <c r="A89" s="11"/>
      <c r="B89" s="31" t="s">
        <v>186</v>
      </c>
      <c r="C89" s="20" t="s">
        <v>187</v>
      </c>
      <c r="D89" s="11"/>
      <c r="E89" s="11"/>
      <c r="F89" s="39">
        <f>'Jan 2026'!AL89</f>
        <v>0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11"/>
      <c r="AI89" s="38">
        <f t="shared" si="1"/>
        <v>0</v>
      </c>
    </row>
    <row r="90" spans="1:35" x14ac:dyDescent="0.25">
      <c r="A90" s="11"/>
      <c r="B90" s="32" t="s">
        <v>188</v>
      </c>
      <c r="C90" s="30" t="s">
        <v>189</v>
      </c>
      <c r="D90" s="11"/>
      <c r="E90" s="11"/>
      <c r="F90" s="39">
        <f>'Jan 2026'!AL90</f>
        <v>0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11"/>
      <c r="AI90" s="38">
        <f t="shared" si="1"/>
        <v>0</v>
      </c>
    </row>
    <row r="91" spans="1:35" x14ac:dyDescent="0.25">
      <c r="A91" s="11" t="s">
        <v>212</v>
      </c>
      <c r="B91" s="31" t="s">
        <v>190</v>
      </c>
      <c r="C91" s="20" t="s">
        <v>191</v>
      </c>
      <c r="D91" s="11"/>
      <c r="E91" s="11"/>
      <c r="F91" s="39">
        <f>'Jan 2026'!AL91</f>
        <v>44</v>
      </c>
      <c r="G91" s="33"/>
      <c r="H91" s="33">
        <v>-25</v>
      </c>
      <c r="I91" s="33">
        <v>-7</v>
      </c>
      <c r="J91" s="33"/>
      <c r="K91" s="33"/>
      <c r="L91" s="33"/>
      <c r="M91" s="33"/>
      <c r="N91" s="33"/>
      <c r="O91" s="33"/>
      <c r="P91" s="33">
        <v>-10</v>
      </c>
      <c r="Q91" s="33">
        <v>-10</v>
      </c>
      <c r="R91" s="34">
        <v>900</v>
      </c>
      <c r="S91" s="33"/>
      <c r="T91" s="33"/>
      <c r="U91" s="33"/>
      <c r="V91" s="33">
        <v>-424</v>
      </c>
      <c r="W91" s="33"/>
      <c r="X91" s="33"/>
      <c r="Y91" s="33">
        <v>-1</v>
      </c>
      <c r="Z91" s="33"/>
      <c r="AA91" s="33"/>
      <c r="AB91" s="33"/>
      <c r="AC91" s="33"/>
      <c r="AD91" s="33"/>
      <c r="AE91" s="33"/>
      <c r="AF91" s="33"/>
      <c r="AG91" s="33"/>
      <c r="AH91" s="11"/>
      <c r="AI91" s="38">
        <f t="shared" si="1"/>
        <v>467</v>
      </c>
    </row>
    <row r="92" spans="1:35" x14ac:dyDescent="0.25">
      <c r="A92" s="11" t="s">
        <v>212</v>
      </c>
      <c r="B92" s="31" t="s">
        <v>192</v>
      </c>
      <c r="C92" s="20" t="s">
        <v>193</v>
      </c>
      <c r="D92" s="11"/>
      <c r="E92" s="11"/>
      <c r="F92" s="39">
        <f>'Jan 2026'!AL92</f>
        <v>31</v>
      </c>
      <c r="G92" s="33"/>
      <c r="H92" s="33">
        <v>-25</v>
      </c>
      <c r="I92" s="33">
        <v>-7</v>
      </c>
      <c r="J92" s="33"/>
      <c r="K92" s="33"/>
      <c r="L92" s="33">
        <v>-1</v>
      </c>
      <c r="M92" s="33"/>
      <c r="N92" s="33"/>
      <c r="O92" s="33"/>
      <c r="P92" s="33"/>
      <c r="Q92" s="33"/>
      <c r="R92" s="34">
        <v>840</v>
      </c>
      <c r="S92" s="33"/>
      <c r="T92" s="33"/>
      <c r="U92" s="33"/>
      <c r="V92" s="33">
        <v>-424</v>
      </c>
      <c r="W92" s="33"/>
      <c r="X92" s="33"/>
      <c r="Y92" s="33">
        <v>-1</v>
      </c>
      <c r="Z92" s="33"/>
      <c r="AA92" s="33"/>
      <c r="AB92" s="33"/>
      <c r="AC92" s="33"/>
      <c r="AD92" s="33"/>
      <c r="AE92" s="33"/>
      <c r="AF92" s="33"/>
      <c r="AG92" s="33"/>
      <c r="AH92" s="11"/>
      <c r="AI92" s="38">
        <f t="shared" si="1"/>
        <v>413</v>
      </c>
    </row>
    <row r="93" spans="1:35" x14ac:dyDescent="0.25">
      <c r="A93" s="11" t="s">
        <v>212</v>
      </c>
      <c r="B93" s="31" t="s">
        <v>194</v>
      </c>
      <c r="C93" s="20" t="s">
        <v>195</v>
      </c>
      <c r="D93" s="11"/>
      <c r="E93" s="11"/>
      <c r="F93" s="39">
        <f>'Jan 2026'!AL93</f>
        <v>42</v>
      </c>
      <c r="G93" s="33"/>
      <c r="H93" s="33">
        <v>-25</v>
      </c>
      <c r="I93" s="33">
        <v>-7</v>
      </c>
      <c r="J93" s="33"/>
      <c r="K93" s="33"/>
      <c r="L93" s="33"/>
      <c r="M93" s="33"/>
      <c r="N93" s="33"/>
      <c r="O93" s="33"/>
      <c r="P93" s="33"/>
      <c r="Q93" s="33"/>
      <c r="R93" s="34">
        <v>900</v>
      </c>
      <c r="S93" s="33"/>
      <c r="T93" s="33"/>
      <c r="U93" s="33"/>
      <c r="V93" s="33">
        <v>-424</v>
      </c>
      <c r="W93" s="33"/>
      <c r="X93" s="33"/>
      <c r="Y93" s="33">
        <v>-1</v>
      </c>
      <c r="Z93" s="33"/>
      <c r="AA93" s="33"/>
      <c r="AB93" s="33"/>
      <c r="AC93" s="33"/>
      <c r="AD93" s="33"/>
      <c r="AE93" s="33"/>
      <c r="AF93" s="33"/>
      <c r="AG93" s="33"/>
      <c r="AH93" s="11"/>
      <c r="AI93" s="38">
        <f t="shared" si="1"/>
        <v>485</v>
      </c>
    </row>
    <row r="94" spans="1:35" x14ac:dyDescent="0.25">
      <c r="A94" s="11" t="s">
        <v>211</v>
      </c>
      <c r="B94" s="31" t="s">
        <v>196</v>
      </c>
      <c r="C94" s="20" t="s">
        <v>197</v>
      </c>
      <c r="D94" s="11"/>
      <c r="E94" s="11"/>
      <c r="F94" s="39">
        <f>'Jan 2026'!AL94</f>
        <v>69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11"/>
      <c r="AI94" s="38">
        <f t="shared" si="1"/>
        <v>69</v>
      </c>
    </row>
    <row r="95" spans="1:35" x14ac:dyDescent="0.25">
      <c r="A95" s="11" t="s">
        <v>213</v>
      </c>
      <c r="C95" s="20" t="s">
        <v>198</v>
      </c>
      <c r="D95" s="11"/>
      <c r="E95" s="11"/>
      <c r="F95" s="39">
        <f>'Jan 2026'!AL95</f>
        <v>0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11"/>
      <c r="AI95" s="38">
        <f t="shared" si="1"/>
        <v>0</v>
      </c>
    </row>
    <row r="96" spans="1:35" x14ac:dyDescent="0.25">
      <c r="A96" s="11" t="s">
        <v>212</v>
      </c>
      <c r="B96" s="31" t="s">
        <v>199</v>
      </c>
      <c r="C96" s="20" t="s">
        <v>200</v>
      </c>
      <c r="D96" s="11"/>
      <c r="E96" s="11"/>
      <c r="F96" s="39">
        <f>'Jan 2026'!AL96</f>
        <v>55</v>
      </c>
      <c r="G96" s="33"/>
      <c r="H96" s="33">
        <v>-25</v>
      </c>
      <c r="I96" s="33">
        <v>-7</v>
      </c>
      <c r="J96" s="33"/>
      <c r="K96" s="33"/>
      <c r="L96" s="33"/>
      <c r="M96" s="33"/>
      <c r="N96" s="33"/>
      <c r="O96" s="33"/>
      <c r="P96" s="33"/>
      <c r="Q96" s="33"/>
      <c r="R96" s="34">
        <v>900</v>
      </c>
      <c r="S96" s="33"/>
      <c r="T96" s="33"/>
      <c r="U96" s="33"/>
      <c r="V96" s="33">
        <v>-424</v>
      </c>
      <c r="W96" s="33"/>
      <c r="X96" s="33"/>
      <c r="Y96" s="33">
        <v>-1</v>
      </c>
      <c r="Z96" s="33"/>
      <c r="AA96" s="33"/>
      <c r="AB96" s="33"/>
      <c r="AC96" s="33"/>
      <c r="AD96" s="33"/>
      <c r="AE96" s="33"/>
      <c r="AF96" s="33"/>
      <c r="AG96" s="33"/>
      <c r="AH96" s="11"/>
      <c r="AI96" s="38">
        <f t="shared" si="1"/>
        <v>498</v>
      </c>
    </row>
    <row r="97" spans="1:38" x14ac:dyDescent="0.25">
      <c r="A97" s="11" t="s">
        <v>212</v>
      </c>
      <c r="B97" s="31" t="s">
        <v>201</v>
      </c>
      <c r="C97" s="20" t="s">
        <v>202</v>
      </c>
      <c r="D97" s="11"/>
      <c r="E97" s="11"/>
      <c r="F97" s="39">
        <f>'Jan 2026'!AL97</f>
        <v>500</v>
      </c>
      <c r="G97" s="33"/>
      <c r="H97" s="33">
        <v>-25</v>
      </c>
      <c r="I97" s="33">
        <v>-7</v>
      </c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>
        <v>-424</v>
      </c>
      <c r="W97" s="33"/>
      <c r="X97" s="33"/>
      <c r="Y97" s="33">
        <v>-1</v>
      </c>
      <c r="Z97" s="33"/>
      <c r="AA97" s="33">
        <v>-29</v>
      </c>
      <c r="AB97" s="33"/>
      <c r="AC97" s="33"/>
      <c r="AD97" s="33"/>
      <c r="AE97" s="33"/>
      <c r="AF97" s="33"/>
      <c r="AG97" s="33"/>
      <c r="AH97" s="11"/>
      <c r="AI97" s="38">
        <f t="shared" si="1"/>
        <v>14</v>
      </c>
    </row>
    <row r="98" spans="1:38" x14ac:dyDescent="0.25">
      <c r="A98" s="11" t="s">
        <v>212</v>
      </c>
      <c r="C98" s="20" t="s">
        <v>203</v>
      </c>
      <c r="D98" s="11"/>
      <c r="E98" s="11"/>
      <c r="F98" s="39">
        <f>'Jan 2026'!AL98</f>
        <v>0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11"/>
      <c r="AI98" s="38">
        <f t="shared" si="1"/>
        <v>0</v>
      </c>
    </row>
    <row r="99" spans="1:38" x14ac:dyDescent="0.25">
      <c r="A99" s="11" t="s">
        <v>211</v>
      </c>
      <c r="B99" s="31" t="s">
        <v>204</v>
      </c>
      <c r="C99" s="20" t="s">
        <v>205</v>
      </c>
      <c r="D99" s="11"/>
      <c r="E99" s="11"/>
      <c r="F99" s="39">
        <f>'Jan 2026'!AL99</f>
        <v>64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11"/>
      <c r="AI99" s="38">
        <f t="shared" si="1"/>
        <v>64</v>
      </c>
    </row>
    <row r="100" spans="1:38" x14ac:dyDescent="0.25">
      <c r="A100" s="11" t="s">
        <v>211</v>
      </c>
      <c r="B100" s="31" t="s">
        <v>206</v>
      </c>
      <c r="C100" s="20" t="s">
        <v>207</v>
      </c>
      <c r="D100" s="11"/>
      <c r="E100" s="11"/>
      <c r="F100" s="39">
        <f>'Jan 2026'!AL100</f>
        <v>700</v>
      </c>
      <c r="G100" s="33"/>
      <c r="H100" s="33">
        <f>-6</f>
        <v>-6</v>
      </c>
      <c r="I100" s="33">
        <v>-396</v>
      </c>
      <c r="J100" s="33">
        <f>-9+-8+-8</f>
        <v>-25</v>
      </c>
      <c r="K100" s="33">
        <f>-6+-9+-25</f>
        <v>-40</v>
      </c>
      <c r="L100" s="33">
        <v>-10</v>
      </c>
      <c r="M100" s="33"/>
      <c r="N100" s="33"/>
      <c r="O100" s="33"/>
      <c r="P100" s="33"/>
      <c r="Q100" s="33"/>
      <c r="R100" s="33">
        <v>-10</v>
      </c>
      <c r="S100" s="33">
        <f>-15+-15</f>
        <v>-30</v>
      </c>
      <c r="T100" s="33"/>
      <c r="U100" s="33"/>
      <c r="V100" s="33">
        <v>-1</v>
      </c>
      <c r="W100" s="33"/>
      <c r="X100" s="33"/>
      <c r="Y100" s="33"/>
      <c r="Z100" s="33">
        <f>-22+-12+-12</f>
        <v>-46</v>
      </c>
      <c r="AA100" s="34">
        <v>500</v>
      </c>
      <c r="AB100" s="33"/>
      <c r="AC100" s="33"/>
      <c r="AD100" s="33">
        <f>-22+-22</f>
        <v>-44</v>
      </c>
      <c r="AE100" s="33"/>
      <c r="AF100" s="33"/>
      <c r="AG100" s="33"/>
      <c r="AH100" s="11"/>
      <c r="AI100" s="38">
        <f t="shared" si="1"/>
        <v>592</v>
      </c>
    </row>
    <row r="101" spans="1:38" x14ac:dyDescent="0.25">
      <c r="A101" s="11" t="s">
        <v>211</v>
      </c>
      <c r="B101" s="31" t="s">
        <v>208</v>
      </c>
      <c r="C101" s="20" t="s">
        <v>209</v>
      </c>
      <c r="D101" s="11"/>
      <c r="E101" s="11"/>
      <c r="F101" s="39">
        <f>'Jan 2026'!AL101</f>
        <v>64</v>
      </c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11"/>
      <c r="AI101" s="38">
        <f t="shared" si="1"/>
        <v>64</v>
      </c>
    </row>
    <row r="102" spans="1:38" x14ac:dyDescent="0.25">
      <c r="A102" s="11"/>
      <c r="B102" s="20"/>
      <c r="C102" s="20"/>
      <c r="D102" s="11"/>
      <c r="E102" s="11"/>
      <c r="F102" s="11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11"/>
      <c r="AI102" s="38">
        <f t="shared" si="1"/>
        <v>0</v>
      </c>
    </row>
    <row r="103" spans="1:38" x14ac:dyDescent="0.25">
      <c r="A103" s="11"/>
      <c r="B103" s="20"/>
      <c r="C103" s="20"/>
      <c r="D103" s="11"/>
      <c r="E103" s="11"/>
      <c r="F103" s="11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11"/>
      <c r="AI103" s="38">
        <f t="shared" si="1"/>
        <v>0</v>
      </c>
    </row>
    <row r="104" spans="1:38" x14ac:dyDescent="0.25">
      <c r="A104" s="11"/>
      <c r="B104" s="20"/>
      <c r="C104" s="20"/>
      <c r="D104" s="11"/>
      <c r="E104" s="11"/>
      <c r="F104" s="11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11"/>
      <c r="AI104" s="38">
        <f t="shared" si="1"/>
        <v>0</v>
      </c>
    </row>
    <row r="105" spans="1:38" x14ac:dyDescent="0.25">
      <c r="A105" s="11"/>
      <c r="B105" s="20"/>
      <c r="C105" s="20"/>
      <c r="D105" s="11"/>
      <c r="E105" s="11"/>
      <c r="F105" s="11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11"/>
      <c r="AI105" s="38">
        <f t="shared" si="1"/>
        <v>0</v>
      </c>
    </row>
    <row r="106" spans="1:38" x14ac:dyDescent="0.25">
      <c r="A106" s="11"/>
      <c r="B106" s="20"/>
      <c r="C106" s="20"/>
      <c r="D106" s="11"/>
      <c r="E106" s="11"/>
      <c r="F106" s="11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11"/>
      <c r="AI106" s="38">
        <f t="shared" si="1"/>
        <v>0</v>
      </c>
    </row>
    <row r="107" spans="1:38" x14ac:dyDescent="0.25">
      <c r="A107" s="11"/>
      <c r="B107" s="20"/>
      <c r="C107" s="2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38">
        <f t="shared" si="1"/>
        <v>0</v>
      </c>
    </row>
    <row r="108" spans="1:38" x14ac:dyDescent="0.25">
      <c r="A108" s="11"/>
      <c r="B108" s="20"/>
      <c r="C108" s="2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25">
        <f t="shared" si="1"/>
        <v>0</v>
      </c>
    </row>
    <row r="109" spans="1:38" x14ac:dyDescent="0.25">
      <c r="A109" s="11"/>
      <c r="B109" s="20"/>
      <c r="C109" s="2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25">
        <f t="shared" si="1"/>
        <v>0</v>
      </c>
    </row>
    <row r="110" spans="1:38" ht="15.75" thickBot="1" x14ac:dyDescent="0.3">
      <c r="A110" s="1"/>
      <c r="B110" s="2"/>
      <c r="C110" s="2"/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5">
        <f t="shared" si="1"/>
        <v>0</v>
      </c>
      <c r="AJ110" s="1"/>
      <c r="AK110" s="1"/>
      <c r="AL110" s="1"/>
    </row>
    <row r="111" spans="1:38" ht="32.25" thickBot="1" x14ac:dyDescent="0.3">
      <c r="A111" s="1"/>
      <c r="B111" s="6" t="s">
        <v>21</v>
      </c>
      <c r="C111" s="18"/>
      <c r="D111" s="19"/>
      <c r="E111" s="9" t="s">
        <v>22</v>
      </c>
      <c r="F111" s="22" t="s">
        <v>23</v>
      </c>
      <c r="G111" s="26" t="s">
        <v>24</v>
      </c>
      <c r="H111" s="2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25"/>
      <c r="AJ111" s="1"/>
      <c r="AK111" s="1"/>
      <c r="AL111" s="1"/>
    </row>
    <row r="112" spans="1:38" ht="16.5" thickBot="1" x14ac:dyDescent="0.3">
      <c r="A112" s="1"/>
      <c r="B112" s="7" t="s">
        <v>25</v>
      </c>
      <c r="C112" s="19"/>
      <c r="D112" s="19"/>
      <c r="E112" s="8"/>
      <c r="F112" s="21"/>
      <c r="G112" s="41"/>
      <c r="H112" s="4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25"/>
      <c r="AJ112" s="1"/>
      <c r="AK112" s="1"/>
      <c r="AL112" s="1"/>
    </row>
    <row r="113" spans="1:38" ht="16.5" thickBot="1" x14ac:dyDescent="0.3">
      <c r="A113" s="1"/>
      <c r="B113" s="7" t="s">
        <v>26</v>
      </c>
      <c r="C113" s="19"/>
      <c r="D113" s="19"/>
      <c r="E113" s="9"/>
      <c r="F113" s="22"/>
      <c r="G113" s="43"/>
      <c r="H113" s="4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25"/>
      <c r="AJ113" s="1"/>
      <c r="AK113" s="1"/>
      <c r="AL113" s="1"/>
    </row>
    <row r="114" spans="1:38" ht="16.5" thickBot="1" x14ac:dyDescent="0.3">
      <c r="A114" s="1"/>
      <c r="B114" s="7" t="s">
        <v>27</v>
      </c>
      <c r="C114" s="19"/>
      <c r="D114" s="19"/>
      <c r="E114" s="10"/>
      <c r="F114" s="23"/>
      <c r="G114" s="45"/>
      <c r="H114" s="4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25"/>
      <c r="AJ114" s="1"/>
      <c r="AK114" s="1"/>
      <c r="AL114" s="1"/>
    </row>
    <row r="115" spans="1:38" ht="15.75" x14ac:dyDescent="0.25">
      <c r="A115" s="1"/>
      <c r="B115" s="47" t="s">
        <v>28</v>
      </c>
      <c r="C115" s="16"/>
      <c r="D115" s="16"/>
      <c r="E115" s="50"/>
      <c r="F115" s="53"/>
      <c r="G115" s="56"/>
      <c r="H115" s="5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25"/>
      <c r="AJ115" s="1"/>
      <c r="AK115" s="1"/>
      <c r="AL115" s="1"/>
    </row>
    <row r="116" spans="1:38" ht="15.75" x14ac:dyDescent="0.25">
      <c r="A116" s="1"/>
      <c r="B116" s="48"/>
      <c r="C116" s="17"/>
      <c r="D116" s="17"/>
      <c r="E116" s="51"/>
      <c r="F116" s="54"/>
      <c r="G116" s="56"/>
      <c r="H116" s="5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25"/>
      <c r="AJ116" s="1"/>
      <c r="AK116" s="1"/>
      <c r="AL116" s="1"/>
    </row>
    <row r="117" spans="1:38" ht="16.5" thickBot="1" x14ac:dyDescent="0.3">
      <c r="A117" s="1"/>
      <c r="B117" s="49"/>
      <c r="C117" s="7"/>
      <c r="D117" s="7"/>
      <c r="E117" s="52"/>
      <c r="F117" s="55"/>
      <c r="G117" s="58"/>
      <c r="H117" s="5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25"/>
      <c r="AJ117" s="1"/>
      <c r="AK117" s="1"/>
      <c r="AL117" s="1"/>
    </row>
    <row r="118" spans="1:38" x14ac:dyDescent="0.25">
      <c r="A118" s="1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25"/>
      <c r="AJ118" s="1"/>
      <c r="AK118" s="1"/>
      <c r="AL118" s="1"/>
    </row>
    <row r="119" spans="1:38" x14ac:dyDescent="0.25">
      <c r="A119" s="1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25"/>
      <c r="AJ119" s="1"/>
      <c r="AK119" s="1"/>
      <c r="AL119" s="1"/>
    </row>
    <row r="120" spans="1:38" x14ac:dyDescent="0.25">
      <c r="A120" s="1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</sheetData>
  <autoFilter ref="A10:AL117" xr:uid="{0389DD10-0AC2-461A-BA2F-54E478B0327A}"/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112:H112"/>
    <mergeCell ref="G113:H113"/>
    <mergeCell ref="G114:H114"/>
    <mergeCell ref="B115:B117"/>
    <mergeCell ref="E115:E117"/>
    <mergeCell ref="F115:F117"/>
    <mergeCell ref="G115:H117"/>
  </mergeCells>
  <conditionalFormatting sqref="AI11:AI119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F424-F7EE-4718-A13B-3BA9462CD65B}">
  <sheetPr filterMode="1"/>
  <dimension ref="A1:AQ117"/>
  <sheetViews>
    <sheetView workbookViewId="0">
      <pane xSplit="3" ySplit="10" topLeftCell="L89" activePane="bottomRight" state="frozen"/>
      <selection pane="topRight" activeCell="D1" sqref="D1"/>
      <selection pane="bottomLeft" activeCell="A11" sqref="A11"/>
      <selection pane="bottomRight" activeCell="Z93" sqref="Z93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16384" width="16.85546875" style="1"/>
  </cols>
  <sheetData>
    <row r="1" spans="1:43" customFormat="1" ht="23.45" customHeight="1" x14ac:dyDescent="0.25">
      <c r="E1" s="65" t="s">
        <v>29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43" customFormat="1" ht="15" x14ac:dyDescent="0.25">
      <c r="E2" s="66" t="s">
        <v>30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8"/>
    </row>
    <row r="3" spans="1:43" customFormat="1" ht="15.75" x14ac:dyDescent="0.25">
      <c r="E3" s="69" t="s">
        <v>0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43" customFormat="1" ht="15" x14ac:dyDescent="0.25">
      <c r="E4" s="70" t="s">
        <v>1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</row>
    <row r="5" spans="1:43" customFormat="1" ht="15.75" x14ac:dyDescent="0.25">
      <c r="E5" s="60" t="s">
        <v>2</v>
      </c>
      <c r="F5" s="60"/>
      <c r="G5" s="60"/>
      <c r="H5" s="71" t="s">
        <v>3</v>
      </c>
      <c r="I5" s="72"/>
      <c r="J5" s="73"/>
      <c r="K5" s="62" t="s">
        <v>4</v>
      </c>
      <c r="L5" s="62"/>
      <c r="M5" s="11">
        <v>0</v>
      </c>
      <c r="N5" s="74" t="s">
        <v>5</v>
      </c>
      <c r="O5" s="74"/>
      <c r="P5" s="75"/>
      <c r="Q5" s="76"/>
    </row>
    <row r="6" spans="1:43" customFormat="1" ht="15.75" x14ac:dyDescent="0.25">
      <c r="E6" s="60" t="s">
        <v>6</v>
      </c>
      <c r="F6" s="60"/>
      <c r="G6" s="60"/>
      <c r="H6" s="61" t="s">
        <v>7</v>
      </c>
      <c r="I6" s="61"/>
      <c r="J6" s="61"/>
      <c r="K6" s="62" t="s">
        <v>8</v>
      </c>
      <c r="L6" s="62"/>
      <c r="M6" s="63" t="s">
        <v>9</v>
      </c>
      <c r="N6" s="63"/>
      <c r="O6" s="63"/>
      <c r="P6" s="63"/>
      <c r="Q6" s="63"/>
    </row>
    <row r="7" spans="1:43" customFormat="1" ht="15.75" x14ac:dyDescent="0.25">
      <c r="E7" s="62" t="s">
        <v>10</v>
      </c>
      <c r="F7" s="62"/>
      <c r="G7" s="62"/>
      <c r="H7" s="64"/>
      <c r="I7" s="64"/>
      <c r="J7" s="64"/>
      <c r="K7" s="62" t="s">
        <v>11</v>
      </c>
      <c r="L7" s="62"/>
      <c r="M7" s="63"/>
      <c r="N7" s="63"/>
      <c r="O7" s="63"/>
      <c r="P7" s="63"/>
      <c r="Q7" s="63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214</v>
      </c>
      <c r="G10" s="35">
        <v>46082</v>
      </c>
      <c r="H10" s="35">
        <v>46083</v>
      </c>
      <c r="I10" s="35">
        <v>46084</v>
      </c>
      <c r="J10" s="35">
        <v>46085</v>
      </c>
      <c r="K10" s="35">
        <v>46086</v>
      </c>
      <c r="L10" s="35">
        <v>46087</v>
      </c>
      <c r="M10" s="35">
        <v>46088</v>
      </c>
      <c r="N10" s="35">
        <v>46089</v>
      </c>
      <c r="O10" s="35">
        <v>46090</v>
      </c>
      <c r="P10" s="35">
        <v>46091</v>
      </c>
      <c r="Q10" s="35">
        <v>46092</v>
      </c>
      <c r="R10" s="35">
        <v>46093</v>
      </c>
      <c r="S10" s="35">
        <v>46094</v>
      </c>
      <c r="T10" s="35">
        <v>46095</v>
      </c>
      <c r="U10" s="35">
        <v>46096</v>
      </c>
      <c r="V10" s="35">
        <v>46097</v>
      </c>
      <c r="W10" s="35">
        <v>46098</v>
      </c>
      <c r="X10" s="35">
        <v>46099</v>
      </c>
      <c r="Y10" s="35">
        <v>46100</v>
      </c>
      <c r="Z10" s="35">
        <v>46101</v>
      </c>
      <c r="AA10" s="35">
        <v>46102</v>
      </c>
      <c r="AB10" s="35">
        <v>46103</v>
      </c>
      <c r="AC10" s="35">
        <v>46104</v>
      </c>
      <c r="AD10" s="35">
        <v>46105</v>
      </c>
      <c r="AE10" s="35">
        <v>46106</v>
      </c>
      <c r="AF10" s="35">
        <v>46107</v>
      </c>
      <c r="AG10" s="35">
        <v>46108</v>
      </c>
      <c r="AH10" s="35">
        <v>46109</v>
      </c>
      <c r="AI10" s="35">
        <v>46110</v>
      </c>
      <c r="AJ10" s="35">
        <v>46111</v>
      </c>
      <c r="AK10" s="35">
        <v>46112</v>
      </c>
      <c r="AL10" s="12" t="s">
        <v>215</v>
      </c>
      <c r="AM10" s="3" t="s">
        <v>18</v>
      </c>
      <c r="AN10" s="3" t="s">
        <v>19</v>
      </c>
      <c r="AO10" s="3" t="s">
        <v>20</v>
      </c>
      <c r="AP10" s="14"/>
      <c r="AQ10" s="15"/>
    </row>
    <row r="11" spans="1:43" customFormat="1" ht="15" hidden="1" x14ac:dyDescent="0.25">
      <c r="A11" s="11" t="s">
        <v>31</v>
      </c>
      <c r="B11" s="31" t="s">
        <v>33</v>
      </c>
      <c r="C11" s="20" t="s">
        <v>34</v>
      </c>
      <c r="D11" s="11"/>
      <c r="E11" s="11"/>
      <c r="F11" s="39">
        <f>'Feb 2026'!AI11</f>
        <v>1003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8">
        <f>F11+SUM(G11:AK11)</f>
        <v>1003</v>
      </c>
      <c r="AM11">
        <v>50</v>
      </c>
      <c r="AN11" t="s">
        <v>216</v>
      </c>
      <c r="AO11">
        <v>100</v>
      </c>
    </row>
    <row r="12" spans="1:43" customFormat="1" ht="15" hidden="1" x14ac:dyDescent="0.25">
      <c r="A12" s="11" t="s">
        <v>31</v>
      </c>
      <c r="B12" s="31" t="s">
        <v>35</v>
      </c>
      <c r="C12" s="20" t="s">
        <v>36</v>
      </c>
      <c r="D12" s="11"/>
      <c r="E12" s="11"/>
      <c r="F12" s="39">
        <f>'Feb 2026'!AI12</f>
        <v>1857</v>
      </c>
      <c r="G12" s="33"/>
      <c r="H12" s="33"/>
      <c r="I12" s="33"/>
      <c r="J12" s="33"/>
      <c r="K12" s="33">
        <f>-23+-14</f>
        <v>-37</v>
      </c>
      <c r="L12" s="33">
        <f>-14+-10</f>
        <v>-24</v>
      </c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>
        <v>-23</v>
      </c>
      <c r="AF12" s="33">
        <v>-42</v>
      </c>
      <c r="AG12" s="33"/>
      <c r="AH12" s="33"/>
      <c r="AI12" s="33"/>
      <c r="AJ12" s="33"/>
      <c r="AK12" s="33"/>
      <c r="AL12" s="38">
        <f t="shared" ref="AL12:AL75" si="0">F12+SUM(G12:AK12)</f>
        <v>1731</v>
      </c>
      <c r="AM12">
        <v>200</v>
      </c>
      <c r="AN12">
        <v>250</v>
      </c>
      <c r="AO12">
        <v>1000</v>
      </c>
    </row>
    <row r="13" spans="1:43" customFormat="1" ht="15" hidden="1" x14ac:dyDescent="0.25">
      <c r="A13" s="11" t="s">
        <v>31</v>
      </c>
      <c r="B13" s="31" t="s">
        <v>37</v>
      </c>
      <c r="C13" s="20" t="s">
        <v>38</v>
      </c>
      <c r="D13" s="11"/>
      <c r="E13" s="11"/>
      <c r="F13" s="39">
        <f>'Feb 2026'!AI13</f>
        <v>1333</v>
      </c>
      <c r="G13" s="33"/>
      <c r="H13" s="33"/>
      <c r="I13" s="33"/>
      <c r="J13" s="33"/>
      <c r="K13" s="33">
        <f>-23+-14</f>
        <v>-37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>
        <v>-42</v>
      </c>
      <c r="AG13" s="33"/>
      <c r="AH13" s="33"/>
      <c r="AI13" s="33"/>
      <c r="AJ13" s="33"/>
      <c r="AK13" s="33"/>
      <c r="AL13" s="38">
        <f t="shared" si="0"/>
        <v>1254</v>
      </c>
      <c r="AM13">
        <v>200</v>
      </c>
      <c r="AN13">
        <v>250</v>
      </c>
      <c r="AO13">
        <v>1000</v>
      </c>
    </row>
    <row r="14" spans="1:43" customFormat="1" ht="15" hidden="1" x14ac:dyDescent="0.25">
      <c r="A14" s="11" t="s">
        <v>31</v>
      </c>
      <c r="B14" s="31" t="s">
        <v>39</v>
      </c>
      <c r="C14" s="20" t="s">
        <v>40</v>
      </c>
      <c r="D14" s="11"/>
      <c r="E14" s="11"/>
      <c r="F14" s="39">
        <f>'Feb 2026'!AI14</f>
        <v>603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8">
        <f t="shared" si="0"/>
        <v>603</v>
      </c>
      <c r="AM14">
        <v>200</v>
      </c>
      <c r="AN14">
        <v>250</v>
      </c>
      <c r="AO14">
        <v>1000</v>
      </c>
    </row>
    <row r="15" spans="1:43" customFormat="1" ht="15" hidden="1" x14ac:dyDescent="0.25">
      <c r="A15" s="11" t="s">
        <v>31</v>
      </c>
      <c r="B15" s="31" t="s">
        <v>41</v>
      </c>
      <c r="C15" s="20" t="s">
        <v>42</v>
      </c>
      <c r="D15" s="11"/>
      <c r="E15" s="11"/>
      <c r="F15" s="39">
        <f>'Feb 2026'!AI15</f>
        <v>925</v>
      </c>
      <c r="G15" s="33"/>
      <c r="H15" s="33"/>
      <c r="I15" s="33"/>
      <c r="J15" s="33"/>
      <c r="K15" s="33">
        <f>-23+-14</f>
        <v>-37</v>
      </c>
      <c r="L15" s="33"/>
      <c r="M15" s="33"/>
      <c r="N15" s="33"/>
      <c r="O15" s="33"/>
      <c r="P15" s="33"/>
      <c r="Q15" s="33"/>
      <c r="R15" s="34">
        <v>500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>
        <v>-8</v>
      </c>
      <c r="AE15" s="33"/>
      <c r="AF15" s="33">
        <v>-42</v>
      </c>
      <c r="AG15" s="33"/>
      <c r="AH15" s="33"/>
      <c r="AI15" s="33"/>
      <c r="AJ15" s="33"/>
      <c r="AK15" s="33"/>
      <c r="AL15" s="38">
        <f t="shared" si="0"/>
        <v>1338</v>
      </c>
      <c r="AM15">
        <v>200</v>
      </c>
      <c r="AN15">
        <v>250</v>
      </c>
      <c r="AO15">
        <v>1000</v>
      </c>
    </row>
    <row r="16" spans="1:43" customFormat="1" ht="15" hidden="1" x14ac:dyDescent="0.25">
      <c r="A16" s="11" t="s">
        <v>31</v>
      </c>
      <c r="B16" s="31" t="s">
        <v>43</v>
      </c>
      <c r="C16" s="20" t="s">
        <v>44</v>
      </c>
      <c r="D16" s="11"/>
      <c r="E16" s="11"/>
      <c r="F16" s="39">
        <f>'Feb 2026'!AI16</f>
        <v>1430</v>
      </c>
      <c r="G16" s="33"/>
      <c r="H16" s="33"/>
      <c r="I16" s="33"/>
      <c r="J16" s="33"/>
      <c r="K16" s="33">
        <f>-23+-14</f>
        <v>-37</v>
      </c>
      <c r="L16" s="33"/>
      <c r="M16" s="33"/>
      <c r="N16" s="33"/>
      <c r="O16" s="33"/>
      <c r="P16" s="33"/>
      <c r="Q16" s="33">
        <v>-8</v>
      </c>
      <c r="R16" s="34">
        <v>500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>
        <v>-10</v>
      </c>
      <c r="AE16" s="33"/>
      <c r="AF16" s="33">
        <v>-42</v>
      </c>
      <c r="AG16" s="33"/>
      <c r="AH16" s="33"/>
      <c r="AI16" s="33"/>
      <c r="AJ16" s="33"/>
      <c r="AK16" s="34"/>
      <c r="AL16" s="38">
        <f t="shared" si="0"/>
        <v>1833</v>
      </c>
      <c r="AM16">
        <v>200</v>
      </c>
      <c r="AN16">
        <v>250</v>
      </c>
      <c r="AO16">
        <v>1000</v>
      </c>
    </row>
    <row r="17" spans="1:42" customFormat="1" ht="15" hidden="1" x14ac:dyDescent="0.25">
      <c r="A17" s="11" t="s">
        <v>31</v>
      </c>
      <c r="B17" s="31" t="s">
        <v>45</v>
      </c>
      <c r="C17" s="20" t="s">
        <v>46</v>
      </c>
      <c r="D17" s="11"/>
      <c r="E17" s="11"/>
      <c r="F17" s="39">
        <f>'Feb 2026'!AI17</f>
        <v>74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8">
        <f t="shared" si="0"/>
        <v>74</v>
      </c>
      <c r="AP17" t="s">
        <v>216</v>
      </c>
    </row>
    <row r="18" spans="1:42" customFormat="1" ht="15" hidden="1" x14ac:dyDescent="0.25">
      <c r="A18" s="11" t="s">
        <v>31</v>
      </c>
      <c r="B18" s="31" t="s">
        <v>47</v>
      </c>
      <c r="C18" s="20" t="s">
        <v>48</v>
      </c>
      <c r="D18" s="11"/>
      <c r="E18" s="11"/>
      <c r="F18" s="39">
        <f>'Feb 2026'!AI18</f>
        <v>100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8">
        <f t="shared" si="0"/>
        <v>100</v>
      </c>
      <c r="AP18" t="s">
        <v>216</v>
      </c>
    </row>
    <row r="19" spans="1:42" customFormat="1" ht="15" hidden="1" x14ac:dyDescent="0.25">
      <c r="A19" s="11" t="s">
        <v>31</v>
      </c>
      <c r="B19" s="31" t="s">
        <v>49</v>
      </c>
      <c r="C19" s="20" t="s">
        <v>50</v>
      </c>
      <c r="D19" s="11"/>
      <c r="E19" s="11"/>
      <c r="F19" s="39">
        <f>'Feb 2026'!AI19</f>
        <v>74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8">
        <f t="shared" si="0"/>
        <v>74</v>
      </c>
      <c r="AP19" t="s">
        <v>216</v>
      </c>
    </row>
    <row r="20" spans="1:42" customFormat="1" ht="15" hidden="1" x14ac:dyDescent="0.25">
      <c r="A20" s="11" t="s">
        <v>31</v>
      </c>
      <c r="B20" s="31" t="s">
        <v>51</v>
      </c>
      <c r="C20" s="20" t="s">
        <v>52</v>
      </c>
      <c r="D20" s="11"/>
      <c r="E20" s="11"/>
      <c r="F20" s="39">
        <f>'Feb 2026'!AI20</f>
        <v>210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8">
        <f t="shared" si="0"/>
        <v>210</v>
      </c>
      <c r="AP20" t="s">
        <v>216</v>
      </c>
    </row>
    <row r="21" spans="1:42" customFormat="1" ht="15" hidden="1" x14ac:dyDescent="0.25">
      <c r="A21" s="11" t="s">
        <v>31</v>
      </c>
      <c r="B21" s="31" t="s">
        <v>53</v>
      </c>
      <c r="C21" s="20" t="s">
        <v>54</v>
      </c>
      <c r="D21" s="11"/>
      <c r="E21" s="11"/>
      <c r="F21" s="39">
        <f>'Feb 2026'!AI21</f>
        <v>100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8">
        <f t="shared" si="0"/>
        <v>100</v>
      </c>
      <c r="AP21" t="s">
        <v>216</v>
      </c>
    </row>
    <row r="22" spans="1:42" customFormat="1" ht="15" hidden="1" x14ac:dyDescent="0.25">
      <c r="A22" s="11" t="s">
        <v>31</v>
      </c>
      <c r="B22" s="31" t="s">
        <v>55</v>
      </c>
      <c r="C22" s="20" t="s">
        <v>56</v>
      </c>
      <c r="D22" s="11"/>
      <c r="E22" s="11"/>
      <c r="F22" s="39">
        <f>'Feb 2026'!AI22</f>
        <v>132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8">
        <f t="shared" si="0"/>
        <v>132</v>
      </c>
      <c r="AP22" t="s">
        <v>216</v>
      </c>
    </row>
    <row r="23" spans="1:42" customFormat="1" ht="15" hidden="1" x14ac:dyDescent="0.25">
      <c r="A23" s="11" t="s">
        <v>31</v>
      </c>
      <c r="B23" s="31" t="s">
        <v>57</v>
      </c>
      <c r="C23" s="20" t="s">
        <v>58</v>
      </c>
      <c r="D23" s="11"/>
      <c r="E23" s="11"/>
      <c r="F23" s="39">
        <f>'Feb 2026'!AI23</f>
        <v>1063</v>
      </c>
      <c r="G23" s="33"/>
      <c r="H23" s="33"/>
      <c r="I23" s="33"/>
      <c r="J23" s="33"/>
      <c r="K23" s="33"/>
      <c r="L23" s="33">
        <f>-42+-30</f>
        <v>-72</v>
      </c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>
        <v>-6</v>
      </c>
      <c r="AE23" s="33">
        <v>-69</v>
      </c>
      <c r="AF23" s="33"/>
      <c r="AG23" s="33"/>
      <c r="AH23" s="33"/>
      <c r="AI23" s="33"/>
      <c r="AJ23" s="33"/>
      <c r="AK23" s="34"/>
      <c r="AL23" s="38">
        <f t="shared" si="0"/>
        <v>916</v>
      </c>
      <c r="AM23">
        <v>200</v>
      </c>
      <c r="AN23">
        <v>250</v>
      </c>
      <c r="AO23">
        <v>1000</v>
      </c>
    </row>
    <row r="24" spans="1:42" customFormat="1" ht="15" hidden="1" x14ac:dyDescent="0.25">
      <c r="A24" s="11" t="s">
        <v>32</v>
      </c>
      <c r="B24" s="31" t="s">
        <v>59</v>
      </c>
      <c r="C24" s="20" t="s">
        <v>60</v>
      </c>
      <c r="D24" s="11"/>
      <c r="E24" s="11"/>
      <c r="F24" s="39">
        <f>'Feb 2026'!AI24</f>
        <v>45</v>
      </c>
      <c r="G24" s="33"/>
      <c r="H24" s="33"/>
      <c r="I24" s="33"/>
      <c r="J24" s="33">
        <v>-8</v>
      </c>
      <c r="K24" s="33">
        <v>-20</v>
      </c>
      <c r="L24" s="33"/>
      <c r="M24" s="33"/>
      <c r="N24" s="33"/>
      <c r="O24" s="33"/>
      <c r="P24" s="33"/>
      <c r="Q24" s="33">
        <f>-1+-3</f>
        <v>-4</v>
      </c>
      <c r="R24" s="33"/>
      <c r="S24" s="33"/>
      <c r="T24" s="33"/>
      <c r="U24" s="33"/>
      <c r="V24" s="33"/>
      <c r="W24" s="33">
        <v>-3</v>
      </c>
      <c r="X24" s="33"/>
      <c r="Y24" s="33"/>
      <c r="Z24" s="33"/>
      <c r="AA24" s="33">
        <v>-1</v>
      </c>
      <c r="AB24" s="33"/>
      <c r="AC24" s="33"/>
      <c r="AD24" s="33"/>
      <c r="AE24" s="33"/>
      <c r="AF24" s="33">
        <v>-1</v>
      </c>
      <c r="AG24" s="33"/>
      <c r="AH24" s="33"/>
      <c r="AI24" s="33"/>
      <c r="AJ24" s="33"/>
      <c r="AK24" s="33"/>
      <c r="AL24" s="38">
        <f t="shared" si="0"/>
        <v>8</v>
      </c>
      <c r="AM24">
        <v>50</v>
      </c>
      <c r="AN24">
        <v>100</v>
      </c>
      <c r="AO24">
        <v>150</v>
      </c>
    </row>
    <row r="25" spans="1:42" customFormat="1" ht="15" hidden="1" x14ac:dyDescent="0.25">
      <c r="A25" s="11" t="s">
        <v>31</v>
      </c>
      <c r="B25" s="31" t="s">
        <v>61</v>
      </c>
      <c r="C25" s="20" t="s">
        <v>62</v>
      </c>
      <c r="D25" s="11"/>
      <c r="E25" s="11"/>
      <c r="F25" s="39">
        <f>'Feb 2026'!AI25</f>
        <v>100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8">
        <f t="shared" si="0"/>
        <v>100</v>
      </c>
      <c r="AP25" t="s">
        <v>216</v>
      </c>
    </row>
    <row r="26" spans="1:42" customFormat="1" ht="15" hidden="1" x14ac:dyDescent="0.25">
      <c r="A26" s="11" t="s">
        <v>31</v>
      </c>
      <c r="B26" s="31" t="s">
        <v>63</v>
      </c>
      <c r="C26" s="20" t="s">
        <v>64</v>
      </c>
      <c r="D26" s="11"/>
      <c r="E26" s="11"/>
      <c r="F26" s="39">
        <f>'Feb 2026'!AI26</f>
        <v>265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8">
        <f t="shared" si="0"/>
        <v>265</v>
      </c>
      <c r="AP26" t="s">
        <v>216</v>
      </c>
    </row>
    <row r="27" spans="1:42" customFormat="1" ht="15" hidden="1" x14ac:dyDescent="0.25">
      <c r="A27" s="11" t="s">
        <v>31</v>
      </c>
      <c r="B27" s="31" t="s">
        <v>65</v>
      </c>
      <c r="C27" s="20" t="s">
        <v>66</v>
      </c>
      <c r="D27" s="11"/>
      <c r="E27" s="11"/>
      <c r="F27" s="39">
        <f>'Feb 2026'!AI27</f>
        <v>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8">
        <f t="shared" si="0"/>
        <v>0</v>
      </c>
      <c r="AP27" t="s">
        <v>216</v>
      </c>
    </row>
    <row r="28" spans="1:42" customFormat="1" ht="15" hidden="1" x14ac:dyDescent="0.25">
      <c r="A28" s="11" t="s">
        <v>31</v>
      </c>
      <c r="B28" s="31" t="s">
        <v>67</v>
      </c>
      <c r="C28" s="20" t="s">
        <v>68</v>
      </c>
      <c r="D28" s="11"/>
      <c r="E28" s="11"/>
      <c r="F28" s="39">
        <f>'Feb 2026'!AI28</f>
        <v>76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8">
        <f t="shared" si="0"/>
        <v>76</v>
      </c>
      <c r="AP28" t="s">
        <v>216</v>
      </c>
    </row>
    <row r="29" spans="1:42" customFormat="1" ht="15" hidden="1" x14ac:dyDescent="0.25">
      <c r="A29" s="11" t="s">
        <v>31</v>
      </c>
      <c r="B29" s="31" t="s">
        <v>69</v>
      </c>
      <c r="C29" s="20" t="s">
        <v>70</v>
      </c>
      <c r="D29" s="11"/>
      <c r="E29" s="11"/>
      <c r="F29" s="39">
        <f>'Feb 2026'!AI29</f>
        <v>2106</v>
      </c>
      <c r="G29" s="33"/>
      <c r="H29" s="33"/>
      <c r="I29" s="33"/>
      <c r="J29" s="33"/>
      <c r="K29" s="33"/>
      <c r="L29" s="33">
        <f>-238+-170</f>
        <v>-408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>
        <v>-220</v>
      </c>
      <c r="AF29" s="33"/>
      <c r="AG29" s="33"/>
      <c r="AH29" s="33"/>
      <c r="AI29" s="33"/>
      <c r="AJ29" s="33"/>
      <c r="AK29" s="33"/>
      <c r="AL29" s="38">
        <f t="shared" si="0"/>
        <v>1478</v>
      </c>
      <c r="AM29">
        <v>200</v>
      </c>
      <c r="AN29">
        <v>250</v>
      </c>
      <c r="AO29">
        <v>1000</v>
      </c>
    </row>
    <row r="30" spans="1:42" customFormat="1" ht="15" hidden="1" x14ac:dyDescent="0.25">
      <c r="A30" s="11" t="s">
        <v>31</v>
      </c>
      <c r="B30" s="31" t="s">
        <v>71</v>
      </c>
      <c r="C30" s="20" t="s">
        <v>72</v>
      </c>
      <c r="D30" s="11"/>
      <c r="E30" s="11"/>
      <c r="F30" s="39">
        <f>'Feb 2026'!AI30</f>
        <v>745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8">
        <f t="shared" si="0"/>
        <v>745</v>
      </c>
      <c r="AM30">
        <v>200</v>
      </c>
      <c r="AN30">
        <v>250</v>
      </c>
      <c r="AO30">
        <v>1000</v>
      </c>
    </row>
    <row r="31" spans="1:42" customFormat="1" ht="15" hidden="1" x14ac:dyDescent="0.25">
      <c r="A31" s="11" t="s">
        <v>31</v>
      </c>
      <c r="B31" s="31" t="s">
        <v>73</v>
      </c>
      <c r="C31" s="20" t="s">
        <v>74</v>
      </c>
      <c r="D31" s="11"/>
      <c r="E31" s="11"/>
      <c r="F31" s="39">
        <f>'Feb 2026'!AI31</f>
        <v>65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8">
        <f t="shared" si="0"/>
        <v>65</v>
      </c>
      <c r="AP31" t="s">
        <v>216</v>
      </c>
    </row>
    <row r="32" spans="1:42" customFormat="1" ht="15" hidden="1" x14ac:dyDescent="0.25">
      <c r="A32" s="11" t="s">
        <v>31</v>
      </c>
      <c r="B32" s="31" t="s">
        <v>75</v>
      </c>
      <c r="C32" s="20" t="s">
        <v>76</v>
      </c>
      <c r="D32" s="11"/>
      <c r="E32" s="11"/>
      <c r="F32" s="39">
        <f>'Feb 2026'!AI32</f>
        <v>198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8">
        <f t="shared" si="0"/>
        <v>198</v>
      </c>
      <c r="AP32" t="s">
        <v>216</v>
      </c>
    </row>
    <row r="33" spans="1:42" customFormat="1" ht="15" hidden="1" x14ac:dyDescent="0.25">
      <c r="A33" s="11" t="s">
        <v>31</v>
      </c>
      <c r="B33" s="31" t="s">
        <v>77</v>
      </c>
      <c r="C33" s="20" t="s">
        <v>78</v>
      </c>
      <c r="D33" s="11"/>
      <c r="E33" s="11"/>
      <c r="F33" s="39">
        <f>'Feb 2026'!AI33</f>
        <v>87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8">
        <f t="shared" si="0"/>
        <v>87</v>
      </c>
      <c r="AP33" t="s">
        <v>216</v>
      </c>
    </row>
    <row r="34" spans="1:42" customFormat="1" ht="15" hidden="1" x14ac:dyDescent="0.25">
      <c r="A34" s="11" t="s">
        <v>31</v>
      </c>
      <c r="B34" s="31" t="s">
        <v>79</v>
      </c>
      <c r="C34" s="20" t="s">
        <v>80</v>
      </c>
      <c r="D34" s="11"/>
      <c r="E34" s="11"/>
      <c r="F34" s="39">
        <f>'Feb 2026'!AI34</f>
        <v>40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8">
        <f t="shared" si="0"/>
        <v>40</v>
      </c>
      <c r="AP34" t="s">
        <v>216</v>
      </c>
    </row>
    <row r="35" spans="1:42" customFormat="1" ht="15" hidden="1" x14ac:dyDescent="0.25">
      <c r="A35" s="11" t="s">
        <v>31</v>
      </c>
      <c r="B35" s="31" t="s">
        <v>81</v>
      </c>
      <c r="C35" s="20" t="s">
        <v>82</v>
      </c>
      <c r="D35" s="11"/>
      <c r="E35" s="11"/>
      <c r="F35" s="39">
        <f>'Feb 2026'!AI35</f>
        <v>308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8">
        <f t="shared" si="0"/>
        <v>308</v>
      </c>
      <c r="AP35" t="s">
        <v>216</v>
      </c>
    </row>
    <row r="36" spans="1:42" customFormat="1" ht="15" hidden="1" x14ac:dyDescent="0.25">
      <c r="A36" s="11" t="s">
        <v>31</v>
      </c>
      <c r="B36" s="31" t="s">
        <v>83</v>
      </c>
      <c r="C36" s="20" t="s">
        <v>84</v>
      </c>
      <c r="D36" s="11"/>
      <c r="E36" s="11"/>
      <c r="F36" s="39">
        <f>'Feb 2026'!AI36</f>
        <v>330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8">
        <f t="shared" si="0"/>
        <v>330</v>
      </c>
      <c r="AP36" t="s">
        <v>216</v>
      </c>
    </row>
    <row r="37" spans="1:42" customFormat="1" ht="15" hidden="1" x14ac:dyDescent="0.25">
      <c r="A37" s="11" t="s">
        <v>31</v>
      </c>
      <c r="B37" s="31" t="s">
        <v>85</v>
      </c>
      <c r="C37" s="20" t="s">
        <v>86</v>
      </c>
      <c r="D37" s="11"/>
      <c r="E37" s="11"/>
      <c r="F37" s="39">
        <f>'Feb 2026'!AI37</f>
        <v>964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>
        <v>-8</v>
      </c>
      <c r="R37" s="34">
        <v>300</v>
      </c>
      <c r="S37" s="33"/>
      <c r="T37" s="33"/>
      <c r="U37" s="33"/>
      <c r="V37" s="33"/>
      <c r="W37" s="33"/>
      <c r="X37" s="33"/>
      <c r="Y37" s="33"/>
      <c r="Z37" s="33">
        <v>-200</v>
      </c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4"/>
      <c r="AL37" s="38">
        <f t="shared" si="0"/>
        <v>1056</v>
      </c>
      <c r="AM37">
        <v>200</v>
      </c>
      <c r="AN37">
        <v>250</v>
      </c>
      <c r="AO37">
        <v>1000</v>
      </c>
    </row>
    <row r="38" spans="1:42" customFormat="1" ht="15" hidden="1" x14ac:dyDescent="0.25">
      <c r="A38" s="11" t="s">
        <v>31</v>
      </c>
      <c r="B38" s="31" t="s">
        <v>87</v>
      </c>
      <c r="C38" s="20" t="s">
        <v>88</v>
      </c>
      <c r="D38" s="11"/>
      <c r="E38" s="11"/>
      <c r="F38" s="39">
        <f>'Feb 2026'!AI38</f>
        <v>299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8">
        <f t="shared" si="0"/>
        <v>299</v>
      </c>
      <c r="AP38" t="s">
        <v>216</v>
      </c>
    </row>
    <row r="39" spans="1:42" customFormat="1" ht="15" hidden="1" x14ac:dyDescent="0.25">
      <c r="A39" s="11" t="s">
        <v>31</v>
      </c>
      <c r="B39" s="31" t="s">
        <v>89</v>
      </c>
      <c r="C39" s="20" t="s">
        <v>90</v>
      </c>
      <c r="D39" s="11"/>
      <c r="E39" s="11"/>
      <c r="F39" s="39">
        <f>'Feb 2026'!AI39</f>
        <v>165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8">
        <f t="shared" si="0"/>
        <v>165</v>
      </c>
      <c r="AP39" t="s">
        <v>216</v>
      </c>
    </row>
    <row r="40" spans="1:42" customFormat="1" ht="15" hidden="1" x14ac:dyDescent="0.25">
      <c r="A40" s="11" t="s">
        <v>31</v>
      </c>
      <c r="B40" s="31" t="s">
        <v>91</v>
      </c>
      <c r="C40" s="20" t="s">
        <v>92</v>
      </c>
      <c r="D40" s="11"/>
      <c r="E40" s="11"/>
      <c r="F40" s="39">
        <f>'Feb 2026'!AI40</f>
        <v>267</v>
      </c>
      <c r="G40" s="33"/>
      <c r="H40" s="33">
        <v>-87</v>
      </c>
      <c r="I40" s="33"/>
      <c r="J40" s="33"/>
      <c r="K40" s="33">
        <v>-25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>
        <v>-20</v>
      </c>
      <c r="AE40" s="33"/>
      <c r="AF40" s="33"/>
      <c r="AG40" s="33"/>
      <c r="AH40" s="33"/>
      <c r="AI40" s="33"/>
      <c r="AJ40" s="33"/>
      <c r="AK40" s="33"/>
      <c r="AL40" s="38">
        <f t="shared" si="0"/>
        <v>135</v>
      </c>
      <c r="AM40">
        <v>200</v>
      </c>
      <c r="AN40">
        <v>250</v>
      </c>
      <c r="AO40">
        <v>1000</v>
      </c>
    </row>
    <row r="41" spans="1:42" customFormat="1" ht="15" hidden="1" x14ac:dyDescent="0.25">
      <c r="A41" s="11" t="s">
        <v>31</v>
      </c>
      <c r="B41" s="31" t="s">
        <v>93</v>
      </c>
      <c r="C41" s="20" t="s">
        <v>94</v>
      </c>
      <c r="D41" s="11"/>
      <c r="E41" s="11"/>
      <c r="F41" s="39">
        <f>'Feb 2026'!AI41</f>
        <v>1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>
        <v>-50</v>
      </c>
      <c r="AE41" s="33"/>
      <c r="AF41" s="33"/>
      <c r="AG41" s="33"/>
      <c r="AH41" s="33"/>
      <c r="AI41" s="33"/>
      <c r="AJ41" s="33"/>
      <c r="AK41" s="33"/>
      <c r="AL41" s="38">
        <f t="shared" si="0"/>
        <v>-49</v>
      </c>
      <c r="AM41">
        <v>200</v>
      </c>
      <c r="AN41">
        <v>250</v>
      </c>
      <c r="AO41">
        <v>1000</v>
      </c>
    </row>
    <row r="42" spans="1:42" customFormat="1" ht="15" hidden="1" x14ac:dyDescent="0.25">
      <c r="A42" s="11" t="s">
        <v>31</v>
      </c>
      <c r="B42" s="31" t="s">
        <v>95</v>
      </c>
      <c r="C42" s="20" t="s">
        <v>96</v>
      </c>
      <c r="D42" s="11"/>
      <c r="E42" s="11"/>
      <c r="F42" s="39">
        <f>'Feb 2026'!AI42</f>
        <v>323</v>
      </c>
      <c r="G42" s="33"/>
      <c r="H42" s="33">
        <v>-3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>
        <v>-50</v>
      </c>
      <c r="AK42" s="33"/>
      <c r="AL42" s="38">
        <f t="shared" si="0"/>
        <v>270</v>
      </c>
      <c r="AM42">
        <v>200</v>
      </c>
      <c r="AN42">
        <v>250</v>
      </c>
      <c r="AO42">
        <v>1000</v>
      </c>
    </row>
    <row r="43" spans="1:42" customFormat="1" ht="15" hidden="1" x14ac:dyDescent="0.25">
      <c r="A43" s="11" t="s">
        <v>31</v>
      </c>
      <c r="B43" s="31" t="s">
        <v>97</v>
      </c>
      <c r="C43" s="20" t="s">
        <v>98</v>
      </c>
      <c r="D43" s="11"/>
      <c r="E43" s="11"/>
      <c r="F43" s="39">
        <f>'Feb 2026'!AI43</f>
        <v>556</v>
      </c>
      <c r="G43" s="33"/>
      <c r="H43" s="33">
        <v>-6</v>
      </c>
      <c r="I43" s="33"/>
      <c r="J43" s="33"/>
      <c r="K43" s="33"/>
      <c r="L43" s="33"/>
      <c r="M43" s="33"/>
      <c r="N43" s="33"/>
      <c r="O43" s="33"/>
      <c r="P43" s="33"/>
      <c r="Q43" s="33"/>
      <c r="R43" s="34">
        <v>300</v>
      </c>
      <c r="S43" s="33"/>
      <c r="T43" s="33"/>
      <c r="U43" s="33"/>
      <c r="V43" s="33"/>
      <c r="W43" s="33"/>
      <c r="X43" s="33"/>
      <c r="Y43" s="33"/>
      <c r="Z43" s="33">
        <v>-300</v>
      </c>
      <c r="AA43" s="33"/>
      <c r="AB43" s="33"/>
      <c r="AC43" s="33"/>
      <c r="AD43" s="33">
        <v>-150</v>
      </c>
      <c r="AE43" s="33"/>
      <c r="AF43" s="33"/>
      <c r="AG43" s="33"/>
      <c r="AH43" s="33"/>
      <c r="AI43" s="33"/>
      <c r="AJ43" s="33">
        <f>-2+-200</f>
        <v>-202</v>
      </c>
      <c r="AK43" s="33"/>
      <c r="AL43" s="38">
        <f t="shared" si="0"/>
        <v>198</v>
      </c>
      <c r="AM43">
        <v>200</v>
      </c>
      <c r="AN43">
        <v>250</v>
      </c>
      <c r="AO43">
        <v>1000</v>
      </c>
    </row>
    <row r="44" spans="1:42" customFormat="1" ht="15" hidden="1" x14ac:dyDescent="0.25">
      <c r="A44" s="11" t="s">
        <v>31</v>
      </c>
      <c r="B44" s="31" t="s">
        <v>99</v>
      </c>
      <c r="C44" s="20" t="s">
        <v>100</v>
      </c>
      <c r="D44" s="11"/>
      <c r="E44" s="11"/>
      <c r="F44" s="39">
        <f>'Feb 2026'!AI44</f>
        <v>211</v>
      </c>
      <c r="G44" s="33"/>
      <c r="H44" s="33">
        <v>-3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>
        <v>-400</v>
      </c>
      <c r="AA44" s="33"/>
      <c r="AB44" s="33"/>
      <c r="AC44" s="33"/>
      <c r="AD44" s="33">
        <v>-50</v>
      </c>
      <c r="AE44" s="33"/>
      <c r="AF44" s="33"/>
      <c r="AG44" s="33"/>
      <c r="AH44" s="33"/>
      <c r="AI44" s="33"/>
      <c r="AJ44" s="33">
        <f>-2+-150</f>
        <v>-152</v>
      </c>
      <c r="AK44" s="33"/>
      <c r="AL44" s="38">
        <f t="shared" si="0"/>
        <v>-394</v>
      </c>
      <c r="AM44">
        <v>200</v>
      </c>
      <c r="AN44">
        <v>250</v>
      </c>
      <c r="AO44">
        <v>1000</v>
      </c>
    </row>
    <row r="45" spans="1:42" customFormat="1" ht="15" hidden="1" x14ac:dyDescent="0.25">
      <c r="A45" s="11" t="s">
        <v>31</v>
      </c>
      <c r="B45" s="31" t="s">
        <v>101</v>
      </c>
      <c r="C45" s="20" t="s">
        <v>102</v>
      </c>
      <c r="D45" s="11"/>
      <c r="E45" s="11"/>
      <c r="F45" s="39">
        <f>'Feb 2026'!AI45</f>
        <v>92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8">
        <f t="shared" si="0"/>
        <v>92</v>
      </c>
      <c r="AM45">
        <v>200</v>
      </c>
      <c r="AN45">
        <v>250</v>
      </c>
      <c r="AO45">
        <v>1000</v>
      </c>
    </row>
    <row r="46" spans="1:42" customFormat="1" ht="15" hidden="1" x14ac:dyDescent="0.25">
      <c r="A46" s="11" t="s">
        <v>31</v>
      </c>
      <c r="B46" s="31" t="s">
        <v>103</v>
      </c>
      <c r="C46" s="20" t="s">
        <v>104</v>
      </c>
      <c r="D46" s="11"/>
      <c r="E46" s="11"/>
      <c r="F46" s="39">
        <f>'Feb 2026'!AI46</f>
        <v>850</v>
      </c>
      <c r="G46" s="33"/>
      <c r="H46" s="33">
        <v>-3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>
        <v>-400</v>
      </c>
      <c r="AA46" s="33"/>
      <c r="AB46" s="33"/>
      <c r="AC46" s="33"/>
      <c r="AD46" s="33">
        <v>-50</v>
      </c>
      <c r="AE46" s="33"/>
      <c r="AF46" s="33"/>
      <c r="AG46" s="33"/>
      <c r="AH46" s="33"/>
      <c r="AI46" s="33"/>
      <c r="AJ46" s="33">
        <v>-200</v>
      </c>
      <c r="AK46" s="33"/>
      <c r="AL46" s="38">
        <f t="shared" si="0"/>
        <v>197</v>
      </c>
      <c r="AM46">
        <v>200</v>
      </c>
      <c r="AN46">
        <v>250</v>
      </c>
      <c r="AO46">
        <v>1000</v>
      </c>
    </row>
    <row r="47" spans="1:42" customFormat="1" ht="15" hidden="1" x14ac:dyDescent="0.25">
      <c r="A47" s="11" t="s">
        <v>31</v>
      </c>
      <c r="B47" s="31" t="s">
        <v>105</v>
      </c>
      <c r="C47" s="20" t="s">
        <v>106</v>
      </c>
      <c r="D47" s="11"/>
      <c r="E47" s="11"/>
      <c r="F47" s="39">
        <f>'Feb 2026'!AI47</f>
        <v>227</v>
      </c>
      <c r="G47" s="33"/>
      <c r="H47" s="33">
        <v>-3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>
        <v>-100</v>
      </c>
      <c r="AA47" s="33"/>
      <c r="AB47" s="33"/>
      <c r="AC47" s="33"/>
      <c r="AD47" s="33">
        <v>-24</v>
      </c>
      <c r="AE47" s="33"/>
      <c r="AF47" s="33"/>
      <c r="AG47" s="33"/>
      <c r="AH47" s="33"/>
      <c r="AI47" s="33"/>
      <c r="AJ47" s="33"/>
      <c r="AK47" s="33"/>
      <c r="AL47" s="38">
        <f t="shared" si="0"/>
        <v>100</v>
      </c>
      <c r="AM47">
        <v>200</v>
      </c>
      <c r="AN47">
        <v>250</v>
      </c>
      <c r="AO47">
        <v>1000</v>
      </c>
    </row>
    <row r="48" spans="1:42" customFormat="1" ht="15" hidden="1" x14ac:dyDescent="0.25">
      <c r="A48" s="11" t="s">
        <v>31</v>
      </c>
      <c r="B48" s="31" t="s">
        <v>107</v>
      </c>
      <c r="C48" s="20" t="s">
        <v>108</v>
      </c>
      <c r="D48" s="11"/>
      <c r="E48" s="11"/>
      <c r="F48" s="39">
        <f>'Feb 2026'!AI48</f>
        <v>807</v>
      </c>
      <c r="G48" s="33"/>
      <c r="H48" s="33">
        <f>-25+-9</f>
        <v>-34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>
        <v>-800</v>
      </c>
      <c r="AA48" s="33"/>
      <c r="AB48" s="33"/>
      <c r="AC48" s="33"/>
      <c r="AD48" s="33">
        <v>-200</v>
      </c>
      <c r="AE48" s="33"/>
      <c r="AF48" s="33"/>
      <c r="AG48" s="33"/>
      <c r="AH48" s="33"/>
      <c r="AI48" s="33"/>
      <c r="AJ48" s="33">
        <f>-4+-100</f>
        <v>-104</v>
      </c>
      <c r="AK48" s="33"/>
      <c r="AL48" s="38">
        <f t="shared" si="0"/>
        <v>-331</v>
      </c>
      <c r="AM48">
        <v>200</v>
      </c>
      <c r="AN48">
        <v>250</v>
      </c>
      <c r="AO48">
        <v>1000</v>
      </c>
    </row>
    <row r="49" spans="1:42" customFormat="1" ht="15" hidden="1" x14ac:dyDescent="0.25">
      <c r="A49" s="11" t="s">
        <v>210</v>
      </c>
      <c r="B49" s="31" t="s">
        <v>95</v>
      </c>
      <c r="C49" s="20" t="s">
        <v>109</v>
      </c>
      <c r="D49" s="11"/>
      <c r="E49" s="11"/>
      <c r="F49" s="39">
        <f>'Feb 2026'!AI49</f>
        <v>20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8">
        <f t="shared" si="0"/>
        <v>20</v>
      </c>
      <c r="AP49" t="s">
        <v>217</v>
      </c>
    </row>
    <row r="50" spans="1:42" customFormat="1" ht="15" hidden="1" x14ac:dyDescent="0.25">
      <c r="A50" s="11" t="s">
        <v>210</v>
      </c>
      <c r="B50" s="31" t="s">
        <v>97</v>
      </c>
      <c r="C50" s="20" t="s">
        <v>110</v>
      </c>
      <c r="D50" s="11"/>
      <c r="E50" s="11"/>
      <c r="F50" s="39">
        <f>'Feb 2026'!AI50</f>
        <v>20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8">
        <f t="shared" si="0"/>
        <v>20</v>
      </c>
      <c r="AP50" t="s">
        <v>217</v>
      </c>
    </row>
    <row r="51" spans="1:42" customFormat="1" ht="15" hidden="1" x14ac:dyDescent="0.25">
      <c r="A51" s="11" t="s">
        <v>31</v>
      </c>
      <c r="B51" s="31" t="s">
        <v>111</v>
      </c>
      <c r="C51" s="20" t="s">
        <v>112</v>
      </c>
      <c r="D51" s="11"/>
      <c r="E51" s="11"/>
      <c r="F51" s="39">
        <f>'Feb 2026'!AI51</f>
        <v>802</v>
      </c>
      <c r="G51" s="33"/>
      <c r="H51" s="33">
        <v>-6</v>
      </c>
      <c r="I51" s="33"/>
      <c r="J51" s="33"/>
      <c r="K51" s="33"/>
      <c r="L51" s="33"/>
      <c r="M51" s="33"/>
      <c r="N51" s="33"/>
      <c r="O51" s="33"/>
      <c r="P51" s="33"/>
      <c r="Q51" s="33">
        <v>-8</v>
      </c>
      <c r="R51" s="33"/>
      <c r="S51" s="33"/>
      <c r="T51" s="33"/>
      <c r="U51" s="33"/>
      <c r="V51" s="33"/>
      <c r="W51" s="33"/>
      <c r="X51" s="33"/>
      <c r="Y51" s="33"/>
      <c r="Z51" s="33">
        <v>-94</v>
      </c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8">
        <f t="shared" si="0"/>
        <v>694</v>
      </c>
      <c r="AM51">
        <v>200</v>
      </c>
      <c r="AN51">
        <v>250</v>
      </c>
      <c r="AO51">
        <v>1000</v>
      </c>
    </row>
    <row r="52" spans="1:42" customFormat="1" ht="15" hidden="1" x14ac:dyDescent="0.25">
      <c r="A52" s="11" t="s">
        <v>31</v>
      </c>
      <c r="B52" s="31" t="s">
        <v>113</v>
      </c>
      <c r="C52" s="20" t="s">
        <v>114</v>
      </c>
      <c r="D52" s="11"/>
      <c r="E52" s="11"/>
      <c r="F52" s="39">
        <f>'Feb 2026'!AI52</f>
        <v>733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8">
        <f t="shared" si="0"/>
        <v>733</v>
      </c>
      <c r="AM52">
        <v>200</v>
      </c>
      <c r="AN52">
        <v>250</v>
      </c>
      <c r="AO52">
        <v>1000</v>
      </c>
    </row>
    <row r="53" spans="1:42" customFormat="1" ht="15" hidden="1" x14ac:dyDescent="0.25">
      <c r="A53" s="11" t="s">
        <v>211</v>
      </c>
      <c r="B53" s="31" t="s">
        <v>115</v>
      </c>
      <c r="C53" s="20" t="s">
        <v>116</v>
      </c>
      <c r="D53" s="11"/>
      <c r="E53" s="11"/>
      <c r="F53" s="39">
        <f>'Feb 2026'!AI53</f>
        <v>709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8">
        <f t="shared" si="0"/>
        <v>709</v>
      </c>
      <c r="AM53">
        <v>200</v>
      </c>
      <c r="AN53">
        <v>250</v>
      </c>
      <c r="AO53">
        <v>1000</v>
      </c>
    </row>
    <row r="54" spans="1:42" customFormat="1" ht="15" hidden="1" x14ac:dyDescent="0.25">
      <c r="A54" s="11" t="s">
        <v>31</v>
      </c>
      <c r="B54" s="31" t="s">
        <v>117</v>
      </c>
      <c r="C54" s="20" t="s">
        <v>118</v>
      </c>
      <c r="D54" s="11"/>
      <c r="E54" s="11"/>
      <c r="F54" s="39">
        <f>'Feb 2026'!AI54</f>
        <v>534</v>
      </c>
      <c r="G54" s="33"/>
      <c r="H54" s="33">
        <v>-3</v>
      </c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>
        <v>-50</v>
      </c>
      <c r="AE54" s="33"/>
      <c r="AF54" s="33"/>
      <c r="AG54" s="33"/>
      <c r="AH54" s="33"/>
      <c r="AI54" s="33"/>
      <c r="AJ54" s="33">
        <f>-2+-50</f>
        <v>-52</v>
      </c>
      <c r="AK54" s="33"/>
      <c r="AL54" s="38">
        <f t="shared" si="0"/>
        <v>429</v>
      </c>
      <c r="AM54">
        <v>200</v>
      </c>
      <c r="AN54">
        <v>250</v>
      </c>
      <c r="AO54">
        <v>1000</v>
      </c>
    </row>
    <row r="55" spans="1:42" customFormat="1" ht="15" hidden="1" x14ac:dyDescent="0.25">
      <c r="A55" s="11" t="s">
        <v>31</v>
      </c>
      <c r="B55" s="31" t="s">
        <v>119</v>
      </c>
      <c r="C55" s="20" t="s">
        <v>120</v>
      </c>
      <c r="D55" s="11"/>
      <c r="E55" s="11"/>
      <c r="F55" s="39">
        <f>'Feb 2026'!AI55</f>
        <v>285</v>
      </c>
      <c r="G55" s="33"/>
      <c r="H55" s="33"/>
      <c r="I55" s="33"/>
      <c r="J55" s="33"/>
      <c r="K55" s="33">
        <f>-46+-28</f>
        <v>-74</v>
      </c>
      <c r="L55" s="33">
        <f>-20+-28</f>
        <v>-48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>
        <v>-46</v>
      </c>
      <c r="AF55" s="33">
        <v>-84</v>
      </c>
      <c r="AG55" s="33"/>
      <c r="AH55" s="33"/>
      <c r="AI55" s="33"/>
      <c r="AJ55" s="33"/>
      <c r="AK55" s="33"/>
      <c r="AL55" s="38">
        <f t="shared" si="0"/>
        <v>33</v>
      </c>
      <c r="AM55">
        <v>200</v>
      </c>
      <c r="AN55">
        <v>250</v>
      </c>
      <c r="AO55">
        <v>1000</v>
      </c>
    </row>
    <row r="56" spans="1:42" customFormat="1" ht="15" hidden="1" x14ac:dyDescent="0.25">
      <c r="A56" s="11" t="s">
        <v>211</v>
      </c>
      <c r="B56" s="31" t="s">
        <v>121</v>
      </c>
      <c r="C56" s="20" t="s">
        <v>122</v>
      </c>
      <c r="D56" s="11"/>
      <c r="E56" s="11"/>
      <c r="F56" s="39">
        <f>'Feb 2026'!AI56</f>
        <v>210</v>
      </c>
      <c r="G56" s="33"/>
      <c r="H56" s="33"/>
      <c r="I56" s="33"/>
      <c r="J56" s="33">
        <v>-16</v>
      </c>
      <c r="K56" s="33"/>
      <c r="L56" s="33"/>
      <c r="M56" s="33"/>
      <c r="N56" s="33"/>
      <c r="O56" s="33"/>
      <c r="P56" s="33"/>
      <c r="Q56" s="33">
        <f>-2+-6</f>
        <v>-8</v>
      </c>
      <c r="R56" s="33"/>
      <c r="S56" s="33"/>
      <c r="T56" s="33"/>
      <c r="U56" s="33"/>
      <c r="V56" s="33"/>
      <c r="W56" s="33">
        <v>-6</v>
      </c>
      <c r="X56" s="33"/>
      <c r="Y56" s="33"/>
      <c r="Z56" s="33"/>
      <c r="AA56" s="33">
        <v>-2</v>
      </c>
      <c r="AB56" s="33"/>
      <c r="AC56" s="33"/>
      <c r="AD56" s="33"/>
      <c r="AE56" s="33"/>
      <c r="AF56" s="33">
        <v>-2</v>
      </c>
      <c r="AG56" s="33"/>
      <c r="AH56" s="33"/>
      <c r="AI56" s="33"/>
      <c r="AJ56" s="33">
        <v>-2</v>
      </c>
      <c r="AK56" s="34"/>
      <c r="AL56" s="38">
        <f t="shared" si="0"/>
        <v>174</v>
      </c>
      <c r="AM56">
        <v>200</v>
      </c>
      <c r="AN56">
        <v>250</v>
      </c>
      <c r="AO56">
        <v>1000</v>
      </c>
    </row>
    <row r="57" spans="1:42" customFormat="1" ht="15" hidden="1" x14ac:dyDescent="0.25">
      <c r="A57" s="11" t="s">
        <v>31</v>
      </c>
      <c r="B57" s="31" t="s">
        <v>123</v>
      </c>
      <c r="C57" s="20" t="s">
        <v>124</v>
      </c>
      <c r="D57" s="11"/>
      <c r="E57" s="11"/>
      <c r="F57" s="39">
        <f>'Feb 2026'!AI57</f>
        <v>238</v>
      </c>
      <c r="G57" s="33"/>
      <c r="H57" s="33"/>
      <c r="I57" s="33"/>
      <c r="J57" s="33"/>
      <c r="K57" s="33">
        <f>-14+-23</f>
        <v>-37</v>
      </c>
      <c r="L57" s="33">
        <f>-10+-14</f>
        <v>-24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>
        <v>-23</v>
      </c>
      <c r="AF57" s="33">
        <v>-42</v>
      </c>
      <c r="AG57" s="33"/>
      <c r="AH57" s="33"/>
      <c r="AI57" s="33"/>
      <c r="AJ57" s="33"/>
      <c r="AK57" s="34"/>
      <c r="AL57" s="38">
        <f t="shared" si="0"/>
        <v>112</v>
      </c>
      <c r="AM57">
        <v>200</v>
      </c>
      <c r="AN57">
        <v>250</v>
      </c>
      <c r="AO57">
        <v>1000</v>
      </c>
    </row>
    <row r="58" spans="1:42" customFormat="1" ht="15" hidden="1" x14ac:dyDescent="0.25">
      <c r="A58" s="11" t="s">
        <v>211</v>
      </c>
      <c r="B58" s="31" t="s">
        <v>125</v>
      </c>
      <c r="C58" s="20" t="s">
        <v>126</v>
      </c>
      <c r="D58" s="11"/>
      <c r="E58" s="11"/>
      <c r="F58" s="39">
        <f>'Feb 2026'!AI58</f>
        <v>46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>
        <v>-2</v>
      </c>
      <c r="AK58" s="34"/>
      <c r="AL58" s="38">
        <f t="shared" si="0"/>
        <v>44</v>
      </c>
      <c r="AM58">
        <v>200</v>
      </c>
      <c r="AN58">
        <v>250</v>
      </c>
      <c r="AO58">
        <v>1000</v>
      </c>
    </row>
    <row r="59" spans="1:42" customFormat="1" ht="15" hidden="1" x14ac:dyDescent="0.25">
      <c r="A59" s="11" t="s">
        <v>31</v>
      </c>
      <c r="B59" s="31" t="s">
        <v>127</v>
      </c>
      <c r="C59" s="20" t="s">
        <v>128</v>
      </c>
      <c r="D59" s="11"/>
      <c r="E59" s="11"/>
      <c r="F59" s="39">
        <f>'Feb 2026'!AI59</f>
        <v>0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8">
        <f t="shared" si="0"/>
        <v>0</v>
      </c>
      <c r="AP59" t="s">
        <v>216</v>
      </c>
    </row>
    <row r="60" spans="1:42" customFormat="1" ht="15" hidden="1" x14ac:dyDescent="0.25">
      <c r="A60" s="11" t="s">
        <v>31</v>
      </c>
      <c r="B60" s="31" t="s">
        <v>129</v>
      </c>
      <c r="C60" s="20" t="s">
        <v>130</v>
      </c>
      <c r="D60" s="11"/>
      <c r="E60" s="11"/>
      <c r="F60" s="39">
        <f>'Feb 2026'!AI60</f>
        <v>0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8">
        <f t="shared" si="0"/>
        <v>0</v>
      </c>
      <c r="AP60" t="s">
        <v>216</v>
      </c>
    </row>
    <row r="61" spans="1:42" customFormat="1" ht="15" hidden="1" x14ac:dyDescent="0.25">
      <c r="A61" s="11" t="s">
        <v>31</v>
      </c>
      <c r="B61" s="31" t="s">
        <v>131</v>
      </c>
      <c r="C61" s="20" t="s">
        <v>132</v>
      </c>
      <c r="D61" s="11"/>
      <c r="E61" s="11"/>
      <c r="F61" s="39">
        <f>'Feb 2026'!AI61</f>
        <v>342</v>
      </c>
      <c r="G61" s="33"/>
      <c r="H61" s="33">
        <v>-22</v>
      </c>
      <c r="I61" s="33"/>
      <c r="J61" s="33"/>
      <c r="K61" s="33">
        <v>-150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>
        <v>-58</v>
      </c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8">
        <f t="shared" si="0"/>
        <v>112</v>
      </c>
      <c r="AM61">
        <v>200</v>
      </c>
      <c r="AN61">
        <v>250</v>
      </c>
      <c r="AO61">
        <v>1000</v>
      </c>
    </row>
    <row r="62" spans="1:42" customFormat="1" ht="15" hidden="1" x14ac:dyDescent="0.25">
      <c r="A62" s="11" t="s">
        <v>211</v>
      </c>
      <c r="B62" s="31" t="s">
        <v>133</v>
      </c>
      <c r="C62" s="20" t="s">
        <v>134</v>
      </c>
      <c r="D62" s="11"/>
      <c r="E62" s="11"/>
      <c r="F62" s="39">
        <f>'Feb 2026'!AI62</f>
        <v>8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8">
        <f t="shared" si="0"/>
        <v>8</v>
      </c>
      <c r="AM62">
        <v>200</v>
      </c>
      <c r="AN62">
        <v>250</v>
      </c>
      <c r="AO62">
        <v>1000</v>
      </c>
    </row>
    <row r="63" spans="1:42" customFormat="1" ht="15" hidden="1" x14ac:dyDescent="0.25">
      <c r="A63" s="11"/>
      <c r="B63" s="31" t="s">
        <v>135</v>
      </c>
      <c r="C63" s="20" t="s">
        <v>136</v>
      </c>
      <c r="D63" s="11"/>
      <c r="E63" s="11"/>
      <c r="F63" s="39">
        <f>'Feb 2026'!AI63</f>
        <v>0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8">
        <f t="shared" si="0"/>
        <v>0</v>
      </c>
      <c r="AM63">
        <v>200</v>
      </c>
      <c r="AN63">
        <v>250</v>
      </c>
      <c r="AO63">
        <v>1000</v>
      </c>
    </row>
    <row r="64" spans="1:42" customFormat="1" ht="15" hidden="1" x14ac:dyDescent="0.25">
      <c r="A64" s="11"/>
      <c r="B64" s="31" t="s">
        <v>137</v>
      </c>
      <c r="C64" s="20" t="s">
        <v>138</v>
      </c>
      <c r="D64" s="11"/>
      <c r="E64" s="11"/>
      <c r="F64" s="39">
        <f>'Feb 2026'!AI64</f>
        <v>18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8">
        <f t="shared" si="0"/>
        <v>18</v>
      </c>
      <c r="AM64">
        <v>100</v>
      </c>
      <c r="AN64">
        <v>150</v>
      </c>
      <c r="AO64">
        <v>500</v>
      </c>
    </row>
    <row r="65" spans="1:42" customFormat="1" ht="15" hidden="1" x14ac:dyDescent="0.25">
      <c r="A65" s="11" t="s">
        <v>31</v>
      </c>
      <c r="B65" s="31" t="s">
        <v>139</v>
      </c>
      <c r="C65" s="20" t="s">
        <v>140</v>
      </c>
      <c r="D65" s="11"/>
      <c r="E65" s="11"/>
      <c r="F65" s="39">
        <f>'Feb 2026'!AI65</f>
        <v>550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8">
        <f t="shared" si="0"/>
        <v>550</v>
      </c>
      <c r="AM65">
        <v>200</v>
      </c>
      <c r="AN65">
        <v>250</v>
      </c>
      <c r="AO65">
        <v>1000</v>
      </c>
    </row>
    <row r="66" spans="1:42" customFormat="1" ht="15" hidden="1" x14ac:dyDescent="0.25">
      <c r="A66" s="11" t="s">
        <v>31</v>
      </c>
      <c r="B66" s="31" t="s">
        <v>141</v>
      </c>
      <c r="C66" s="20" t="s">
        <v>142</v>
      </c>
      <c r="D66" s="11"/>
      <c r="E66" s="11"/>
      <c r="F66" s="39">
        <f>'Feb 2026'!AI66</f>
        <v>321</v>
      </c>
      <c r="G66" s="33"/>
      <c r="H66" s="33">
        <v>-6</v>
      </c>
      <c r="I66" s="33"/>
      <c r="J66" s="33"/>
      <c r="K66" s="33"/>
      <c r="L66" s="33"/>
      <c r="M66" s="33"/>
      <c r="N66" s="33"/>
      <c r="O66" s="33"/>
      <c r="P66" s="33"/>
      <c r="Q66" s="33"/>
      <c r="R66" s="34">
        <v>200</v>
      </c>
      <c r="S66" s="33"/>
      <c r="T66" s="33"/>
      <c r="U66" s="33"/>
      <c r="V66" s="33"/>
      <c r="W66" s="33"/>
      <c r="X66" s="33"/>
      <c r="Y66" s="33"/>
      <c r="Z66" s="33">
        <v>-200</v>
      </c>
      <c r="AA66" s="33"/>
      <c r="AB66" s="33"/>
      <c r="AC66" s="33"/>
      <c r="AD66" s="33">
        <v>-100</v>
      </c>
      <c r="AE66" s="33"/>
      <c r="AF66" s="33"/>
      <c r="AG66" s="33"/>
      <c r="AH66" s="33"/>
      <c r="AI66" s="33"/>
      <c r="AJ66" s="33">
        <v>-100</v>
      </c>
      <c r="AK66" s="33"/>
      <c r="AL66" s="38">
        <f t="shared" si="0"/>
        <v>115</v>
      </c>
      <c r="AM66">
        <v>200</v>
      </c>
      <c r="AN66">
        <v>250</v>
      </c>
      <c r="AO66">
        <v>1000</v>
      </c>
    </row>
    <row r="67" spans="1:42" customFormat="1" ht="15" hidden="1" x14ac:dyDescent="0.25">
      <c r="A67" s="11" t="s">
        <v>31</v>
      </c>
      <c r="B67" s="31" t="s">
        <v>143</v>
      </c>
      <c r="C67" s="20" t="s">
        <v>144</v>
      </c>
      <c r="D67" s="11"/>
      <c r="E67" s="11"/>
      <c r="F67" s="39">
        <f>'Feb 2026'!AI67</f>
        <v>824</v>
      </c>
      <c r="G67" s="33"/>
      <c r="H67" s="33">
        <v>-6</v>
      </c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>
        <v>-100</v>
      </c>
      <c r="AA67" s="33"/>
      <c r="AB67" s="33"/>
      <c r="AC67" s="33"/>
      <c r="AD67" s="33"/>
      <c r="AE67" s="33"/>
      <c r="AF67" s="33"/>
      <c r="AG67" s="33"/>
      <c r="AH67" s="33"/>
      <c r="AI67" s="33"/>
      <c r="AJ67" s="33">
        <v>-50</v>
      </c>
      <c r="AK67" s="33"/>
      <c r="AL67" s="38">
        <f t="shared" si="0"/>
        <v>668</v>
      </c>
      <c r="AM67">
        <v>200</v>
      </c>
      <c r="AN67">
        <v>250</v>
      </c>
      <c r="AO67">
        <v>1000</v>
      </c>
    </row>
    <row r="68" spans="1:42" customFormat="1" ht="15" hidden="1" x14ac:dyDescent="0.25">
      <c r="A68" s="11" t="s">
        <v>31</v>
      </c>
      <c r="B68" s="31" t="s">
        <v>145</v>
      </c>
      <c r="C68" s="20" t="s">
        <v>146</v>
      </c>
      <c r="D68" s="11"/>
      <c r="E68" s="11"/>
      <c r="F68" s="39">
        <f>'Feb 2026'!AI68</f>
        <v>486</v>
      </c>
      <c r="G68" s="33"/>
      <c r="H68" s="33">
        <v>-3</v>
      </c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>
        <v>-100</v>
      </c>
      <c r="AA68" s="33"/>
      <c r="AB68" s="33"/>
      <c r="AC68" s="33"/>
      <c r="AD68" s="33">
        <v>-50</v>
      </c>
      <c r="AE68" s="33"/>
      <c r="AF68" s="33"/>
      <c r="AG68" s="33"/>
      <c r="AH68" s="33"/>
      <c r="AI68" s="33"/>
      <c r="AJ68" s="33">
        <v>-50</v>
      </c>
      <c r="AK68" s="33"/>
      <c r="AL68" s="38">
        <f t="shared" si="0"/>
        <v>283</v>
      </c>
      <c r="AM68">
        <v>200</v>
      </c>
      <c r="AN68">
        <v>250</v>
      </c>
      <c r="AO68">
        <v>1000</v>
      </c>
    </row>
    <row r="69" spans="1:42" customFormat="1" ht="15" hidden="1" x14ac:dyDescent="0.25">
      <c r="A69" s="11" t="s">
        <v>31</v>
      </c>
      <c r="B69" s="31" t="s">
        <v>147</v>
      </c>
      <c r="C69" s="20" t="s">
        <v>148</v>
      </c>
      <c r="D69" s="11"/>
      <c r="E69" s="11"/>
      <c r="F69" s="39">
        <f>'Feb 2026'!AI69</f>
        <v>510</v>
      </c>
      <c r="G69" s="33"/>
      <c r="H69" s="33">
        <v>-3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>
        <v>-100</v>
      </c>
      <c r="AA69" s="33"/>
      <c r="AB69" s="33"/>
      <c r="AC69" s="33"/>
      <c r="AD69" s="33">
        <v>-50</v>
      </c>
      <c r="AE69" s="33"/>
      <c r="AF69" s="33"/>
      <c r="AG69" s="33"/>
      <c r="AH69" s="33"/>
      <c r="AI69" s="33"/>
      <c r="AJ69" s="33">
        <v>-50</v>
      </c>
      <c r="AK69" s="33"/>
      <c r="AL69" s="38">
        <f t="shared" si="0"/>
        <v>307</v>
      </c>
      <c r="AM69">
        <v>200</v>
      </c>
      <c r="AN69">
        <v>250</v>
      </c>
      <c r="AO69">
        <v>1000</v>
      </c>
    </row>
    <row r="70" spans="1:42" customFormat="1" ht="15" hidden="1" x14ac:dyDescent="0.25">
      <c r="A70" s="11" t="s">
        <v>31</v>
      </c>
      <c r="B70" s="31" t="s">
        <v>149</v>
      </c>
      <c r="C70" s="20" t="s">
        <v>150</v>
      </c>
      <c r="D70" s="11"/>
      <c r="E70" s="11"/>
      <c r="F70" s="39">
        <f>'Feb 2026'!AI70</f>
        <v>1047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8">
        <f t="shared" si="0"/>
        <v>1047</v>
      </c>
      <c r="AP70" t="s">
        <v>216</v>
      </c>
    </row>
    <row r="71" spans="1:42" customFormat="1" ht="15" hidden="1" x14ac:dyDescent="0.25">
      <c r="A71" s="11" t="s">
        <v>211</v>
      </c>
      <c r="B71" s="31" t="s">
        <v>151</v>
      </c>
      <c r="C71" s="20" t="s">
        <v>152</v>
      </c>
      <c r="D71" s="11"/>
      <c r="E71" s="11"/>
      <c r="F71" s="39">
        <f>'Feb 2026'!AI71</f>
        <v>760</v>
      </c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8">
        <f t="shared" si="0"/>
        <v>760</v>
      </c>
      <c r="AM71">
        <v>50</v>
      </c>
      <c r="AN71">
        <v>100</v>
      </c>
      <c r="AO71">
        <v>150</v>
      </c>
    </row>
    <row r="72" spans="1:42" customFormat="1" ht="15" hidden="1" x14ac:dyDescent="0.25">
      <c r="A72" s="11" t="s">
        <v>211</v>
      </c>
      <c r="B72" s="31" t="s">
        <v>153</v>
      </c>
      <c r="C72" s="20" t="s">
        <v>154</v>
      </c>
      <c r="D72" s="11"/>
      <c r="E72" s="11"/>
      <c r="F72" s="39">
        <f>'Feb 2026'!AI72</f>
        <v>1196</v>
      </c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8">
        <f t="shared" si="0"/>
        <v>1196</v>
      </c>
      <c r="AM72">
        <v>50</v>
      </c>
      <c r="AN72">
        <v>100</v>
      </c>
      <c r="AO72">
        <v>150</v>
      </c>
    </row>
    <row r="73" spans="1:42" customFormat="1" ht="15" hidden="1" x14ac:dyDescent="0.25">
      <c r="A73" s="11" t="s">
        <v>211</v>
      </c>
      <c r="B73" s="31" t="s">
        <v>155</v>
      </c>
      <c r="C73" s="20" t="s">
        <v>156</v>
      </c>
      <c r="D73" s="11"/>
      <c r="E73" s="11"/>
      <c r="F73" s="39">
        <f>'Feb 2026'!AI73</f>
        <v>667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8">
        <f t="shared" si="0"/>
        <v>667</v>
      </c>
      <c r="AM73">
        <v>50</v>
      </c>
      <c r="AN73">
        <v>100</v>
      </c>
      <c r="AO73">
        <v>150</v>
      </c>
    </row>
    <row r="74" spans="1:42" customFormat="1" ht="15" hidden="1" x14ac:dyDescent="0.25">
      <c r="A74" s="11" t="s">
        <v>211</v>
      </c>
      <c r="B74" s="31" t="s">
        <v>157</v>
      </c>
      <c r="C74" s="20" t="s">
        <v>158</v>
      </c>
      <c r="D74" s="11"/>
      <c r="E74" s="11"/>
      <c r="F74" s="39">
        <f>'Feb 2026'!AI74</f>
        <v>283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8">
        <f t="shared" si="0"/>
        <v>283</v>
      </c>
      <c r="AM74">
        <v>50</v>
      </c>
      <c r="AN74">
        <v>100</v>
      </c>
      <c r="AO74">
        <v>150</v>
      </c>
    </row>
    <row r="75" spans="1:42" customFormat="1" ht="15" hidden="1" x14ac:dyDescent="0.25">
      <c r="A75" s="11"/>
      <c r="B75" s="31" t="s">
        <v>159</v>
      </c>
      <c r="C75" s="20" t="s">
        <v>160</v>
      </c>
      <c r="D75" s="11"/>
      <c r="E75" s="11"/>
      <c r="F75" s="39">
        <f>'Feb 2026'!AI75</f>
        <v>100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8">
        <f t="shared" si="0"/>
        <v>100</v>
      </c>
      <c r="AM75">
        <v>50</v>
      </c>
      <c r="AN75">
        <v>100</v>
      </c>
      <c r="AO75">
        <v>150</v>
      </c>
    </row>
    <row r="76" spans="1:42" customFormat="1" ht="15" hidden="1" x14ac:dyDescent="0.25">
      <c r="A76" s="11" t="s">
        <v>211</v>
      </c>
      <c r="B76" s="31" t="s">
        <v>161</v>
      </c>
      <c r="C76" s="20" t="s">
        <v>162</v>
      </c>
      <c r="D76" s="11"/>
      <c r="E76" s="11"/>
      <c r="F76" s="39">
        <f>'Feb 2026'!AI76</f>
        <v>164</v>
      </c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8">
        <f t="shared" ref="AL76:AL101" si="1">F76+SUM(G76:AK76)</f>
        <v>164</v>
      </c>
      <c r="AM76">
        <v>50</v>
      </c>
      <c r="AN76">
        <v>100</v>
      </c>
      <c r="AO76">
        <v>150</v>
      </c>
    </row>
    <row r="77" spans="1:42" customFormat="1" ht="15" hidden="1" x14ac:dyDescent="0.25">
      <c r="A77" s="11" t="s">
        <v>211</v>
      </c>
      <c r="B77" s="31" t="s">
        <v>163</v>
      </c>
      <c r="C77" s="20" t="s">
        <v>164</v>
      </c>
      <c r="D77" s="11"/>
      <c r="E77" s="11"/>
      <c r="F77" s="39">
        <f>'Feb 2026'!AI77</f>
        <v>417</v>
      </c>
      <c r="G77" s="33"/>
      <c r="H77" s="33"/>
      <c r="I77" s="33"/>
      <c r="J77" s="33"/>
      <c r="K77" s="33">
        <f>-14+-23</f>
        <v>-37</v>
      </c>
      <c r="L77" s="33">
        <f>-10+-14</f>
        <v>-24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>
        <v>-23</v>
      </c>
      <c r="AF77" s="33">
        <v>-42</v>
      </c>
      <c r="AG77" s="33"/>
      <c r="AH77" s="33"/>
      <c r="AI77" s="33"/>
      <c r="AJ77" s="33">
        <v>-2</v>
      </c>
      <c r="AK77" s="34"/>
      <c r="AL77" s="38">
        <f t="shared" si="1"/>
        <v>289</v>
      </c>
      <c r="AM77">
        <v>200</v>
      </c>
      <c r="AN77">
        <v>250</v>
      </c>
      <c r="AO77">
        <v>1000</v>
      </c>
    </row>
    <row r="78" spans="1:42" customFormat="1" ht="15" hidden="1" x14ac:dyDescent="0.25">
      <c r="A78" s="11" t="s">
        <v>211</v>
      </c>
      <c r="B78" s="31" t="s">
        <v>165</v>
      </c>
      <c r="C78" s="20" t="s">
        <v>166</v>
      </c>
      <c r="D78" s="11"/>
      <c r="E78" s="11"/>
      <c r="F78" s="39">
        <f>'Feb 2026'!AI78</f>
        <v>980</v>
      </c>
      <c r="G78" s="33"/>
      <c r="H78" s="33">
        <v>-3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>
        <v>-100</v>
      </c>
      <c r="AA78" s="33"/>
      <c r="AB78" s="33"/>
      <c r="AC78" s="33"/>
      <c r="AD78" s="33">
        <v>-50</v>
      </c>
      <c r="AE78" s="33"/>
      <c r="AF78" s="33"/>
      <c r="AG78" s="33"/>
      <c r="AH78" s="33"/>
      <c r="AI78" s="33"/>
      <c r="AJ78" s="33">
        <v>-50</v>
      </c>
      <c r="AK78" s="33"/>
      <c r="AL78" s="38">
        <f t="shared" si="1"/>
        <v>777</v>
      </c>
      <c r="AM78">
        <v>200</v>
      </c>
      <c r="AN78">
        <v>250</v>
      </c>
      <c r="AO78">
        <v>1000</v>
      </c>
    </row>
    <row r="79" spans="1:42" customFormat="1" ht="15" hidden="1" x14ac:dyDescent="0.25">
      <c r="A79" s="11" t="s">
        <v>211</v>
      </c>
      <c r="B79" s="31" t="s">
        <v>167</v>
      </c>
      <c r="C79" s="20" t="s">
        <v>168</v>
      </c>
      <c r="D79" s="11"/>
      <c r="E79" s="11"/>
      <c r="F79" s="39">
        <f>'Feb 2026'!AI79</f>
        <v>16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8">
        <f t="shared" si="1"/>
        <v>16</v>
      </c>
      <c r="AP79" t="s">
        <v>216</v>
      </c>
    </row>
    <row r="80" spans="1:42" customFormat="1" ht="15" hidden="1" x14ac:dyDescent="0.25">
      <c r="A80" s="11" t="s">
        <v>210</v>
      </c>
      <c r="B80" s="31" t="s">
        <v>169</v>
      </c>
      <c r="C80" s="20" t="s">
        <v>170</v>
      </c>
      <c r="D80" s="11"/>
      <c r="E80" s="11"/>
      <c r="F80" s="39">
        <f>'Feb 2026'!AI80</f>
        <v>580</v>
      </c>
      <c r="G80" s="33"/>
      <c r="H80" s="33"/>
      <c r="I80" s="33"/>
      <c r="J80" s="33"/>
      <c r="K80" s="33"/>
      <c r="L80" s="33">
        <f>-20+-28</f>
        <v>-48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>
        <v>-46</v>
      </c>
      <c r="AF80" s="33"/>
      <c r="AG80" s="33"/>
      <c r="AH80" s="33"/>
      <c r="AI80" s="33"/>
      <c r="AJ80" s="33"/>
      <c r="AK80" s="34"/>
      <c r="AL80" s="38">
        <f t="shared" si="1"/>
        <v>486</v>
      </c>
      <c r="AM80">
        <v>200</v>
      </c>
      <c r="AN80">
        <v>250</v>
      </c>
      <c r="AO80">
        <v>1000</v>
      </c>
    </row>
    <row r="81" spans="1:42" customFormat="1" ht="15" hidden="1" x14ac:dyDescent="0.25">
      <c r="A81" s="11" t="s">
        <v>210</v>
      </c>
      <c r="B81" s="31" t="s">
        <v>171</v>
      </c>
      <c r="C81" s="20" t="s">
        <v>172</v>
      </c>
      <c r="D81" s="11"/>
      <c r="E81" s="11"/>
      <c r="F81" s="39">
        <f>'Feb 2026'!AI81</f>
        <v>332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8">
        <f t="shared" si="1"/>
        <v>332</v>
      </c>
      <c r="AM81">
        <v>50</v>
      </c>
      <c r="AN81">
        <v>100</v>
      </c>
      <c r="AO81">
        <v>150</v>
      </c>
    </row>
    <row r="82" spans="1:42" customFormat="1" ht="15" hidden="1" x14ac:dyDescent="0.25">
      <c r="A82" s="11"/>
      <c r="B82" s="31" t="s">
        <v>173</v>
      </c>
      <c r="C82" s="20" t="s">
        <v>174</v>
      </c>
      <c r="D82" s="11"/>
      <c r="E82" s="11"/>
      <c r="F82" s="39">
        <f>'Feb 2026'!AI82</f>
        <v>0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8">
        <f t="shared" si="1"/>
        <v>0</v>
      </c>
      <c r="AM82">
        <v>50</v>
      </c>
      <c r="AN82">
        <v>100</v>
      </c>
      <c r="AO82">
        <v>150</v>
      </c>
    </row>
    <row r="83" spans="1:42" customFormat="1" ht="15" hidden="1" x14ac:dyDescent="0.25">
      <c r="A83" s="11" t="s">
        <v>210</v>
      </c>
      <c r="B83" s="31" t="s">
        <v>175</v>
      </c>
      <c r="C83" s="20" t="s">
        <v>176</v>
      </c>
      <c r="D83" s="11"/>
      <c r="E83" s="11"/>
      <c r="F83" s="39">
        <f>'Feb 2026'!AI83</f>
        <v>269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8">
        <f t="shared" si="1"/>
        <v>269</v>
      </c>
      <c r="AM83">
        <v>50</v>
      </c>
      <c r="AN83">
        <v>100</v>
      </c>
      <c r="AO83">
        <v>150</v>
      </c>
    </row>
    <row r="84" spans="1:42" customFormat="1" ht="15" hidden="1" x14ac:dyDescent="0.25">
      <c r="A84" s="11" t="s">
        <v>210</v>
      </c>
      <c r="B84" s="31" t="s">
        <v>177</v>
      </c>
      <c r="C84" s="20" t="s">
        <v>178</v>
      </c>
      <c r="D84" s="11"/>
      <c r="E84" s="11"/>
      <c r="F84" s="39">
        <f>'Feb 2026'!AI84</f>
        <v>66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8">
        <f t="shared" si="1"/>
        <v>66</v>
      </c>
      <c r="AM84">
        <v>50</v>
      </c>
      <c r="AN84">
        <v>100</v>
      </c>
      <c r="AO84">
        <v>150</v>
      </c>
    </row>
    <row r="85" spans="1:42" customFormat="1" ht="15" hidden="1" x14ac:dyDescent="0.25">
      <c r="A85" s="11"/>
      <c r="B85" s="31" t="s">
        <v>179</v>
      </c>
      <c r="C85" s="20" t="s">
        <v>180</v>
      </c>
      <c r="D85" s="11"/>
      <c r="E85" s="11"/>
      <c r="F85" s="39">
        <f>'Feb 2026'!AI85</f>
        <v>0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8">
        <f t="shared" si="1"/>
        <v>0</v>
      </c>
      <c r="AM85">
        <v>50</v>
      </c>
      <c r="AN85">
        <v>100</v>
      </c>
      <c r="AO85">
        <v>150</v>
      </c>
    </row>
    <row r="86" spans="1:42" customFormat="1" ht="15" hidden="1" x14ac:dyDescent="0.25">
      <c r="A86" s="11" t="s">
        <v>210</v>
      </c>
      <c r="B86" s="31" t="s">
        <v>181</v>
      </c>
      <c r="C86" s="20" t="s">
        <v>182</v>
      </c>
      <c r="D86" s="11"/>
      <c r="E86" s="11"/>
      <c r="F86" s="39">
        <f>'Feb 2026'!AI86</f>
        <v>127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8">
        <f t="shared" si="1"/>
        <v>127</v>
      </c>
      <c r="AM86">
        <v>50</v>
      </c>
      <c r="AN86">
        <v>100</v>
      </c>
      <c r="AO86">
        <v>150</v>
      </c>
    </row>
    <row r="87" spans="1:42" customFormat="1" ht="15" hidden="1" x14ac:dyDescent="0.25">
      <c r="A87" s="11"/>
      <c r="B87" s="31" t="s">
        <v>183</v>
      </c>
      <c r="C87" s="20" t="s">
        <v>184</v>
      </c>
      <c r="D87" s="11"/>
      <c r="E87" s="11"/>
      <c r="F87" s="39">
        <f>'Feb 2026'!AI87</f>
        <v>0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8">
        <f t="shared" si="1"/>
        <v>0</v>
      </c>
      <c r="AP87" t="s">
        <v>216</v>
      </c>
    </row>
    <row r="88" spans="1:42" customFormat="1" ht="15" hidden="1" x14ac:dyDescent="0.25">
      <c r="A88" s="11" t="s">
        <v>210</v>
      </c>
      <c r="B88" s="31" t="s">
        <v>177</v>
      </c>
      <c r="C88" s="20" t="s">
        <v>185</v>
      </c>
      <c r="D88" s="11"/>
      <c r="E88" s="11"/>
      <c r="F88" s="39">
        <f>'Feb 2026'!AI88</f>
        <v>20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8">
        <f t="shared" si="1"/>
        <v>20</v>
      </c>
      <c r="AP88" t="s">
        <v>216</v>
      </c>
    </row>
    <row r="89" spans="1:42" customFormat="1" ht="15" x14ac:dyDescent="0.25">
      <c r="A89" s="11"/>
      <c r="B89" s="31" t="s">
        <v>186</v>
      </c>
      <c r="C89" s="20" t="s">
        <v>187</v>
      </c>
      <c r="D89" s="11"/>
      <c r="E89" s="11"/>
      <c r="F89" s="39">
        <f>'Feb 2026'!AI89</f>
        <v>0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8">
        <f t="shared" si="1"/>
        <v>0</v>
      </c>
      <c r="AP89" t="s">
        <v>216</v>
      </c>
    </row>
    <row r="90" spans="1:42" customFormat="1" ht="15" x14ac:dyDescent="0.25">
      <c r="A90" s="11"/>
      <c r="B90" s="32" t="s">
        <v>188</v>
      </c>
      <c r="C90" s="30" t="s">
        <v>189</v>
      </c>
      <c r="D90" s="11"/>
      <c r="E90" s="11"/>
      <c r="F90" s="39">
        <f>'Feb 2026'!AI90</f>
        <v>0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8">
        <f t="shared" si="1"/>
        <v>0</v>
      </c>
      <c r="AP90" t="s">
        <v>216</v>
      </c>
    </row>
    <row r="91" spans="1:42" customFormat="1" ht="15" x14ac:dyDescent="0.25">
      <c r="A91" s="11" t="s">
        <v>212</v>
      </c>
      <c r="B91" s="31" t="s">
        <v>190</v>
      </c>
      <c r="C91" s="20" t="s">
        <v>191</v>
      </c>
      <c r="D91" s="11"/>
      <c r="E91" s="11"/>
      <c r="F91" s="39">
        <f>'Feb 2026'!AI91</f>
        <v>467</v>
      </c>
      <c r="G91" s="33"/>
      <c r="H91" s="33">
        <v>-3</v>
      </c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>
        <v>-100</v>
      </c>
      <c r="AA91" s="33"/>
      <c r="AB91" s="33"/>
      <c r="AC91" s="33"/>
      <c r="AD91" s="33">
        <v>-50</v>
      </c>
      <c r="AE91" s="33"/>
      <c r="AF91" s="33"/>
      <c r="AG91" s="33"/>
      <c r="AH91" s="33"/>
      <c r="AI91" s="33"/>
      <c r="AJ91" s="33">
        <v>-50</v>
      </c>
      <c r="AK91" s="33"/>
      <c r="AL91" s="38">
        <f t="shared" si="1"/>
        <v>264</v>
      </c>
      <c r="AM91">
        <v>100</v>
      </c>
      <c r="AN91">
        <v>150</v>
      </c>
      <c r="AO91">
        <v>500</v>
      </c>
    </row>
    <row r="92" spans="1:42" customFormat="1" ht="15" x14ac:dyDescent="0.25">
      <c r="A92" s="11" t="s">
        <v>212</v>
      </c>
      <c r="B92" s="31" t="s">
        <v>192</v>
      </c>
      <c r="C92" s="20" t="s">
        <v>193</v>
      </c>
      <c r="D92" s="11"/>
      <c r="E92" s="11"/>
      <c r="F92" s="39">
        <f>'Feb 2026'!AI92</f>
        <v>413</v>
      </c>
      <c r="G92" s="33"/>
      <c r="H92" s="33">
        <v>-3</v>
      </c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>
        <v>-100</v>
      </c>
      <c r="AA92" s="33"/>
      <c r="AB92" s="33"/>
      <c r="AC92" s="33"/>
      <c r="AD92" s="33">
        <v>-50</v>
      </c>
      <c r="AE92" s="33"/>
      <c r="AF92" s="33"/>
      <c r="AG92" s="33"/>
      <c r="AH92" s="33"/>
      <c r="AI92" s="33"/>
      <c r="AJ92" s="33">
        <v>-50</v>
      </c>
      <c r="AK92" s="33"/>
      <c r="AL92" s="38">
        <f t="shared" si="1"/>
        <v>210</v>
      </c>
      <c r="AM92">
        <v>100</v>
      </c>
      <c r="AN92">
        <v>150</v>
      </c>
      <c r="AO92">
        <v>500</v>
      </c>
    </row>
    <row r="93" spans="1:42" customFormat="1" ht="15" x14ac:dyDescent="0.25">
      <c r="A93" s="11" t="s">
        <v>212</v>
      </c>
      <c r="B93" s="31" t="s">
        <v>194</v>
      </c>
      <c r="C93" s="20" t="s">
        <v>195</v>
      </c>
      <c r="D93" s="11"/>
      <c r="E93" s="11"/>
      <c r="F93" s="39">
        <f>'Feb 2026'!AI93</f>
        <v>485</v>
      </c>
      <c r="G93" s="33"/>
      <c r="H93" s="33">
        <v>-3</v>
      </c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>
        <v>-100</v>
      </c>
      <c r="AA93" s="33"/>
      <c r="AB93" s="33"/>
      <c r="AC93" s="33"/>
      <c r="AD93" s="33">
        <v>-50</v>
      </c>
      <c r="AE93" s="33"/>
      <c r="AF93" s="33"/>
      <c r="AG93" s="33"/>
      <c r="AH93" s="33"/>
      <c r="AI93" s="33"/>
      <c r="AJ93" s="33">
        <v>-50</v>
      </c>
      <c r="AK93" s="33"/>
      <c r="AL93" s="38">
        <f t="shared" si="1"/>
        <v>282</v>
      </c>
      <c r="AM93">
        <v>100</v>
      </c>
      <c r="AN93">
        <v>150</v>
      </c>
      <c r="AO93">
        <v>500</v>
      </c>
    </row>
    <row r="94" spans="1:42" customFormat="1" ht="15" hidden="1" x14ac:dyDescent="0.25">
      <c r="A94" s="11" t="s">
        <v>211</v>
      </c>
      <c r="B94" s="31" t="s">
        <v>196</v>
      </c>
      <c r="C94" s="20" t="s">
        <v>197</v>
      </c>
      <c r="D94" s="11"/>
      <c r="E94" s="11"/>
      <c r="F94" s="39">
        <f>'Feb 2026'!AI94</f>
        <v>69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8">
        <f t="shared" si="1"/>
        <v>69</v>
      </c>
      <c r="AP94" t="s">
        <v>216</v>
      </c>
    </row>
    <row r="95" spans="1:42" customFormat="1" ht="15" hidden="1" x14ac:dyDescent="0.25">
      <c r="A95" s="11" t="s">
        <v>213</v>
      </c>
      <c r="C95" s="20" t="s">
        <v>198</v>
      </c>
      <c r="D95" s="11"/>
      <c r="E95" s="11"/>
      <c r="F95" s="39">
        <f>'Feb 2026'!AI95</f>
        <v>0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8">
        <f t="shared" si="1"/>
        <v>0</v>
      </c>
      <c r="AP95" t="s">
        <v>216</v>
      </c>
    </row>
    <row r="96" spans="1:42" customFormat="1" ht="15" hidden="1" x14ac:dyDescent="0.25">
      <c r="A96" s="11" t="s">
        <v>212</v>
      </c>
      <c r="B96" s="31" t="s">
        <v>199</v>
      </c>
      <c r="C96" s="20" t="s">
        <v>200</v>
      </c>
      <c r="D96" s="11"/>
      <c r="E96" s="11"/>
      <c r="F96" s="39">
        <f>'Feb 2026'!AI96</f>
        <v>498</v>
      </c>
      <c r="G96" s="33"/>
      <c r="H96" s="33">
        <v>-3</v>
      </c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>
        <v>-100</v>
      </c>
      <c r="AA96" s="33"/>
      <c r="AB96" s="33"/>
      <c r="AC96" s="33"/>
      <c r="AD96" s="33">
        <v>-50</v>
      </c>
      <c r="AE96" s="33"/>
      <c r="AF96" s="33"/>
      <c r="AG96" s="33"/>
      <c r="AH96" s="33"/>
      <c r="AI96" s="33"/>
      <c r="AJ96" s="33">
        <v>-50</v>
      </c>
      <c r="AK96" s="33"/>
      <c r="AL96" s="38">
        <f t="shared" si="1"/>
        <v>295</v>
      </c>
      <c r="AM96">
        <v>100</v>
      </c>
      <c r="AN96">
        <v>150</v>
      </c>
      <c r="AO96">
        <v>500</v>
      </c>
    </row>
    <row r="97" spans="1:42" customFormat="1" ht="15" hidden="1" x14ac:dyDescent="0.25">
      <c r="A97" s="11" t="s">
        <v>212</v>
      </c>
      <c r="B97" s="31" t="s">
        <v>201</v>
      </c>
      <c r="C97" s="20" t="s">
        <v>202</v>
      </c>
      <c r="D97" s="11"/>
      <c r="E97" s="11"/>
      <c r="F97" s="39">
        <f>'Feb 2026'!AI97</f>
        <v>14</v>
      </c>
      <c r="G97" s="33"/>
      <c r="H97" s="33">
        <v>-3</v>
      </c>
      <c r="I97" s="33"/>
      <c r="J97" s="33"/>
      <c r="K97" s="33"/>
      <c r="L97" s="33"/>
      <c r="M97" s="34"/>
      <c r="N97" s="33"/>
      <c r="O97" s="33"/>
      <c r="P97" s="33"/>
      <c r="Q97" s="33"/>
      <c r="R97" s="34">
        <v>250</v>
      </c>
      <c r="S97" s="33"/>
      <c r="T97" s="33"/>
      <c r="U97" s="33"/>
      <c r="V97" s="33"/>
      <c r="W97" s="33"/>
      <c r="X97" s="33"/>
      <c r="Y97" s="33"/>
      <c r="Z97" s="33">
        <v>-100</v>
      </c>
      <c r="AA97" s="33"/>
      <c r="AB97" s="33"/>
      <c r="AC97" s="33"/>
      <c r="AD97" s="33">
        <v>-50</v>
      </c>
      <c r="AE97" s="33"/>
      <c r="AF97" s="33"/>
      <c r="AG97" s="33"/>
      <c r="AH97" s="33"/>
      <c r="AI97" s="33"/>
      <c r="AJ97" s="33">
        <v>-50</v>
      </c>
      <c r="AK97" s="33"/>
      <c r="AL97" s="38">
        <f t="shared" si="1"/>
        <v>61</v>
      </c>
      <c r="AM97">
        <v>100</v>
      </c>
      <c r="AN97">
        <v>150</v>
      </c>
      <c r="AO97">
        <v>500</v>
      </c>
    </row>
    <row r="98" spans="1:42" customFormat="1" ht="15" hidden="1" x14ac:dyDescent="0.25">
      <c r="A98" s="11" t="s">
        <v>212</v>
      </c>
      <c r="C98" s="20" t="s">
        <v>203</v>
      </c>
      <c r="D98" s="11"/>
      <c r="E98" s="11"/>
      <c r="F98" s="39">
        <f>'Feb 2026'!AI98</f>
        <v>0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8">
        <f t="shared" si="1"/>
        <v>0</v>
      </c>
      <c r="AP98" t="s">
        <v>218</v>
      </c>
    </row>
    <row r="99" spans="1:42" customFormat="1" ht="15" hidden="1" x14ac:dyDescent="0.25">
      <c r="A99" s="11" t="s">
        <v>211</v>
      </c>
      <c r="B99" s="31" t="s">
        <v>204</v>
      </c>
      <c r="C99" s="20" t="s">
        <v>205</v>
      </c>
      <c r="D99" s="11"/>
      <c r="E99" s="11"/>
      <c r="F99" s="39">
        <f>'Feb 2026'!AI99</f>
        <v>64</v>
      </c>
      <c r="G99" s="33"/>
      <c r="H99" s="33"/>
      <c r="I99" s="33"/>
      <c r="J99" s="33">
        <v>-8</v>
      </c>
      <c r="K99" s="33"/>
      <c r="L99" s="33"/>
      <c r="M99" s="33"/>
      <c r="N99" s="33"/>
      <c r="O99" s="33"/>
      <c r="P99" s="33"/>
      <c r="Q99" s="33">
        <f>-1+-3</f>
        <v>-4</v>
      </c>
      <c r="R99" s="33"/>
      <c r="S99" s="33"/>
      <c r="T99" s="33"/>
      <c r="U99" s="33"/>
      <c r="V99" s="33"/>
      <c r="W99" s="33">
        <v>-3</v>
      </c>
      <c r="X99" s="33"/>
      <c r="Y99" s="33"/>
      <c r="Z99" s="33"/>
      <c r="AA99" s="33">
        <v>-1</v>
      </c>
      <c r="AB99" s="33"/>
      <c r="AC99" s="33"/>
      <c r="AD99" s="33"/>
      <c r="AE99" s="33"/>
      <c r="AF99" s="33">
        <v>-1</v>
      </c>
      <c r="AG99" s="33"/>
      <c r="AH99" s="33"/>
      <c r="AI99" s="33"/>
      <c r="AJ99" s="33"/>
      <c r="AK99" s="33"/>
      <c r="AL99" s="38">
        <f t="shared" si="1"/>
        <v>47</v>
      </c>
      <c r="AM99">
        <v>10</v>
      </c>
      <c r="AN99">
        <v>15</v>
      </c>
      <c r="AO99">
        <v>25</v>
      </c>
    </row>
    <row r="100" spans="1:42" customFormat="1" ht="15" hidden="1" x14ac:dyDescent="0.25">
      <c r="A100" s="11" t="s">
        <v>211</v>
      </c>
      <c r="B100" s="31" t="s">
        <v>206</v>
      </c>
      <c r="C100" s="20" t="s">
        <v>207</v>
      </c>
      <c r="D100" s="11"/>
      <c r="E100" s="11"/>
      <c r="F100" s="39">
        <f>'Feb 2026'!AI100</f>
        <v>592</v>
      </c>
      <c r="G100" s="33"/>
      <c r="H100" s="33"/>
      <c r="I100" s="33"/>
      <c r="J100" s="33"/>
      <c r="K100" s="33">
        <f>-14+-23</f>
        <v>-37</v>
      </c>
      <c r="L100" s="33">
        <f>-10+-14</f>
        <v>-24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>
        <v>-23</v>
      </c>
      <c r="AF100" s="33">
        <v>-42</v>
      </c>
      <c r="AG100" s="33"/>
      <c r="AH100" s="33"/>
      <c r="AI100" s="33"/>
      <c r="AJ100" s="33">
        <f>-2+-10</f>
        <v>-12</v>
      </c>
      <c r="AK100" s="34"/>
      <c r="AL100" s="38">
        <f t="shared" si="1"/>
        <v>454</v>
      </c>
      <c r="AM100">
        <v>200</v>
      </c>
      <c r="AN100">
        <v>250</v>
      </c>
      <c r="AO100">
        <v>500</v>
      </c>
    </row>
    <row r="101" spans="1:42" customFormat="1" ht="15" hidden="1" x14ac:dyDescent="0.25">
      <c r="A101" s="11" t="s">
        <v>211</v>
      </c>
      <c r="B101" s="31" t="s">
        <v>208</v>
      </c>
      <c r="C101" s="20" t="s">
        <v>209</v>
      </c>
      <c r="D101" s="11"/>
      <c r="E101" s="11"/>
      <c r="F101" s="39">
        <f>'Feb 2026'!AI101</f>
        <v>64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38">
        <f t="shared" si="1"/>
        <v>64</v>
      </c>
      <c r="AM101">
        <v>50</v>
      </c>
      <c r="AN101">
        <v>100</v>
      </c>
      <c r="AO101">
        <v>200</v>
      </c>
    </row>
    <row r="102" spans="1:42" customFormat="1" ht="15" x14ac:dyDescent="0.25">
      <c r="A102" s="11"/>
      <c r="B102" s="20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25"/>
    </row>
    <row r="103" spans="1:42" customFormat="1" ht="15" x14ac:dyDescent="0.25">
      <c r="A103" s="11"/>
      <c r="B103" s="20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25"/>
    </row>
    <row r="104" spans="1:42" customFormat="1" ht="15" x14ac:dyDescent="0.25">
      <c r="A104" s="11"/>
      <c r="B104" s="20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25"/>
    </row>
    <row r="105" spans="1:42" customFormat="1" ht="15" x14ac:dyDescent="0.25">
      <c r="A105" s="11"/>
      <c r="B105" s="20"/>
      <c r="C105" s="2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25"/>
    </row>
    <row r="106" spans="1:42" customFormat="1" ht="15" x14ac:dyDescent="0.25">
      <c r="A106" s="11"/>
      <c r="B106" s="20"/>
      <c r="C106" s="2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25"/>
    </row>
    <row r="107" spans="1:42" customFormat="1" ht="15" x14ac:dyDescent="0.25">
      <c r="A107" s="11"/>
      <c r="B107" s="20"/>
      <c r="C107" s="2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25"/>
    </row>
    <row r="108" spans="1:42" customFormat="1" ht="15" x14ac:dyDescent="0.25">
      <c r="A108" s="11"/>
      <c r="B108" s="20"/>
      <c r="C108" s="2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25"/>
    </row>
    <row r="109" spans="1:42" customFormat="1" ht="15" x14ac:dyDescent="0.25">
      <c r="A109" s="11"/>
      <c r="B109" s="20"/>
      <c r="C109" s="2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25"/>
    </row>
    <row r="110" spans="1:42" ht="13.5" thickBot="1" x14ac:dyDescent="0.25"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 spans="1:42" ht="79.5" customHeight="1" thickBot="1" x14ac:dyDescent="0.25">
      <c r="B111" s="6" t="s">
        <v>21</v>
      </c>
      <c r="C111" s="18"/>
      <c r="D111" s="19"/>
      <c r="E111" s="9" t="s">
        <v>22</v>
      </c>
      <c r="F111" s="22" t="s">
        <v>23</v>
      </c>
      <c r="G111" s="26" t="s">
        <v>24</v>
      </c>
      <c r="H111" s="27"/>
    </row>
    <row r="112" spans="1:42" ht="16.5" thickBot="1" x14ac:dyDescent="0.25">
      <c r="B112" s="7" t="s">
        <v>25</v>
      </c>
      <c r="C112" s="19"/>
      <c r="D112" s="19"/>
      <c r="E112" s="8"/>
      <c r="F112" s="21"/>
      <c r="G112" s="41"/>
      <c r="H112" s="42"/>
    </row>
    <row r="113" spans="2:8" ht="16.5" thickBot="1" x14ac:dyDescent="0.25">
      <c r="B113" s="7" t="s">
        <v>26</v>
      </c>
      <c r="C113" s="19"/>
      <c r="D113" s="19"/>
      <c r="E113" s="9"/>
      <c r="F113" s="22"/>
      <c r="G113" s="43"/>
      <c r="H113" s="44"/>
    </row>
    <row r="114" spans="2:8" ht="16.5" thickBot="1" x14ac:dyDescent="0.25">
      <c r="B114" s="7" t="s">
        <v>27</v>
      </c>
      <c r="C114" s="19"/>
      <c r="D114" s="19"/>
      <c r="E114" s="10"/>
      <c r="F114" s="23"/>
      <c r="G114" s="45"/>
      <c r="H114" s="46"/>
    </row>
    <row r="115" spans="2:8" ht="15.75" x14ac:dyDescent="0.2">
      <c r="B115" s="47" t="s">
        <v>28</v>
      </c>
      <c r="C115" s="16"/>
      <c r="D115" s="16"/>
      <c r="E115" s="50"/>
      <c r="F115" s="53"/>
      <c r="G115" s="56"/>
      <c r="H115" s="57"/>
    </row>
    <row r="116" spans="2:8" ht="15.75" x14ac:dyDescent="0.2">
      <c r="B116" s="48"/>
      <c r="C116" s="17"/>
      <c r="D116" s="17"/>
      <c r="E116" s="51"/>
      <c r="F116" s="54"/>
      <c r="G116" s="56"/>
      <c r="H116" s="57"/>
    </row>
    <row r="117" spans="2:8" ht="16.5" thickBot="1" x14ac:dyDescent="0.25">
      <c r="B117" s="49"/>
      <c r="C117" s="7"/>
      <c r="D117" s="7"/>
      <c r="E117" s="52"/>
      <c r="F117" s="55"/>
      <c r="G117" s="58"/>
      <c r="H117" s="59"/>
    </row>
  </sheetData>
  <autoFilter ref="A10:AO101" xr:uid="{00000000-0001-0000-0000-000000000000}">
    <filterColumn colId="2">
      <filters>
        <filter val="IC - BQ21040 - Charging IC"/>
        <filter val="IC - LM2596R - ADJ - Buck  Adjustable"/>
        <filter val="IC - MCP2515-1/SO  - Can Controller"/>
        <filter val="IC - Regulator AP2112K 3.3V"/>
        <filter val="IC - TJA1050T - JSM - Can  Transceiver"/>
      </filters>
    </filterColumn>
  </autoFilter>
  <mergeCells count="24">
    <mergeCell ref="G112:H112"/>
    <mergeCell ref="G113:H113"/>
    <mergeCell ref="G114:H114"/>
    <mergeCell ref="B115:B117"/>
    <mergeCell ref="E115:E117"/>
    <mergeCell ref="F115:F117"/>
    <mergeCell ref="G115:H117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L11:AL109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38AE-1229-4F6E-9831-01C7A800F650}">
  <sheetPr filterMode="1"/>
  <dimension ref="A1:AO165"/>
  <sheetViews>
    <sheetView tabSelected="1" workbookViewId="0">
      <pane xSplit="5" ySplit="10" topLeftCell="F71" activePane="bottomRight" state="frozen"/>
      <selection pane="topRight" activeCell="F1" sqref="F1"/>
      <selection pane="bottomLeft" activeCell="A11" sqref="A11"/>
      <selection pane="bottomRight" activeCell="L47" sqref="L47"/>
    </sheetView>
  </sheetViews>
  <sheetFormatPr defaultRowHeight="15" x14ac:dyDescent="0.25"/>
  <cols>
    <col min="2" max="2" width="13.28515625" bestFit="1" customWidth="1"/>
    <col min="3" max="3" width="39.5703125" bestFit="1" customWidth="1"/>
  </cols>
  <sheetData>
    <row r="1" spans="1:41" ht="22.5" x14ac:dyDescent="0.25">
      <c r="E1" s="65" t="s">
        <v>29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41" x14ac:dyDescent="0.25">
      <c r="E2" s="66" t="s">
        <v>30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8"/>
    </row>
    <row r="3" spans="1:41" ht="15.75" x14ac:dyDescent="0.25">
      <c r="E3" s="69" t="s">
        <v>0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spans="1:41" x14ac:dyDescent="0.25">
      <c r="E4" s="70" t="s">
        <v>1</v>
      </c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</row>
    <row r="5" spans="1:41" ht="15.75" x14ac:dyDescent="0.25">
      <c r="E5" s="60" t="s">
        <v>2</v>
      </c>
      <c r="F5" s="60"/>
      <c r="G5" s="60"/>
      <c r="H5" s="71" t="s">
        <v>3</v>
      </c>
      <c r="I5" s="72"/>
      <c r="J5" s="73"/>
      <c r="K5" s="62" t="s">
        <v>4</v>
      </c>
      <c r="L5" s="62"/>
      <c r="M5" s="11">
        <v>0</v>
      </c>
      <c r="N5" s="74" t="s">
        <v>5</v>
      </c>
      <c r="O5" s="74"/>
      <c r="P5" s="75"/>
      <c r="Q5" s="76"/>
    </row>
    <row r="6" spans="1:41" ht="15.75" x14ac:dyDescent="0.25">
      <c r="E6" s="60" t="s">
        <v>6</v>
      </c>
      <c r="F6" s="60"/>
      <c r="G6" s="60"/>
      <c r="H6" s="61" t="s">
        <v>7</v>
      </c>
      <c r="I6" s="61"/>
      <c r="J6" s="61"/>
      <c r="K6" s="62" t="s">
        <v>8</v>
      </c>
      <c r="L6" s="62"/>
      <c r="M6" s="63" t="s">
        <v>9</v>
      </c>
      <c r="N6" s="63"/>
      <c r="O6" s="63"/>
      <c r="P6" s="63"/>
      <c r="Q6" s="63"/>
    </row>
    <row r="7" spans="1:41" ht="15.75" x14ac:dyDescent="0.25">
      <c r="E7" s="62" t="s">
        <v>10</v>
      </c>
      <c r="F7" s="62"/>
      <c r="G7" s="62"/>
      <c r="H7" s="64"/>
      <c r="I7" s="64"/>
      <c r="J7" s="64"/>
      <c r="K7" s="62" t="s">
        <v>11</v>
      </c>
      <c r="L7" s="62"/>
      <c r="M7" s="63"/>
      <c r="N7" s="63"/>
      <c r="O7" s="63"/>
      <c r="P7" s="63"/>
      <c r="Q7" s="63"/>
    </row>
    <row r="9" spans="1:41" x14ac:dyDescent="0.25">
      <c r="A9" t="s">
        <v>12</v>
      </c>
    </row>
    <row r="10" spans="1:4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214</v>
      </c>
      <c r="G10" s="35">
        <v>46113</v>
      </c>
      <c r="H10" s="35">
        <v>46114</v>
      </c>
      <c r="I10" s="35">
        <v>46115</v>
      </c>
      <c r="J10" s="35">
        <v>46116</v>
      </c>
      <c r="K10" s="35">
        <v>46117</v>
      </c>
      <c r="L10" s="35">
        <v>46118</v>
      </c>
      <c r="M10" s="35">
        <v>46119</v>
      </c>
      <c r="N10" s="35">
        <v>46120</v>
      </c>
      <c r="O10" s="35">
        <v>46121</v>
      </c>
      <c r="P10" s="35">
        <v>46122</v>
      </c>
      <c r="Q10" s="35">
        <v>46123</v>
      </c>
      <c r="R10" s="35">
        <v>46124</v>
      </c>
      <c r="S10" s="35">
        <v>46125</v>
      </c>
      <c r="T10" s="35">
        <v>46126</v>
      </c>
      <c r="U10" s="35">
        <v>46127</v>
      </c>
      <c r="V10" s="35">
        <v>46128</v>
      </c>
      <c r="W10" s="35">
        <v>46129</v>
      </c>
      <c r="X10" s="35">
        <v>46130</v>
      </c>
      <c r="Y10" s="35">
        <v>46131</v>
      </c>
      <c r="Z10" s="35">
        <v>46132</v>
      </c>
      <c r="AA10" s="35">
        <v>46133</v>
      </c>
      <c r="AB10" s="35">
        <v>46134</v>
      </c>
      <c r="AC10" s="35">
        <v>46135</v>
      </c>
      <c r="AD10" s="35">
        <v>46136</v>
      </c>
      <c r="AE10" s="35">
        <v>46137</v>
      </c>
      <c r="AF10" s="35">
        <v>46138</v>
      </c>
      <c r="AG10" s="35">
        <v>46139</v>
      </c>
      <c r="AH10" s="35">
        <v>46140</v>
      </c>
      <c r="AI10" s="35">
        <v>46141</v>
      </c>
      <c r="AJ10" s="35">
        <v>46142</v>
      </c>
      <c r="AK10" s="12" t="s">
        <v>215</v>
      </c>
      <c r="AL10" s="3" t="s">
        <v>18</v>
      </c>
      <c r="AM10" s="3" t="s">
        <v>19</v>
      </c>
      <c r="AN10" s="3" t="s">
        <v>20</v>
      </c>
      <c r="AO10" s="14"/>
    </row>
    <row r="11" spans="1:41" hidden="1" x14ac:dyDescent="0.25">
      <c r="A11" s="11" t="s">
        <v>31</v>
      </c>
      <c r="B11" s="31" t="s">
        <v>33</v>
      </c>
      <c r="C11" s="20" t="s">
        <v>34</v>
      </c>
      <c r="D11" s="11"/>
      <c r="E11" s="11"/>
      <c r="F11" s="39">
        <f>'March 2026'!AL11</f>
        <v>1003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8">
        <f t="shared" ref="AK11:AK42" si="0">F11+SUM(G11:AJ11)</f>
        <v>1003</v>
      </c>
      <c r="AL11">
        <v>50</v>
      </c>
      <c r="AM11" t="s">
        <v>216</v>
      </c>
      <c r="AN11">
        <v>100</v>
      </c>
    </row>
    <row r="12" spans="1:41" hidden="1" x14ac:dyDescent="0.25">
      <c r="A12" s="11" t="s">
        <v>31</v>
      </c>
      <c r="B12" s="31" t="s">
        <v>35</v>
      </c>
      <c r="C12" s="20" t="s">
        <v>36</v>
      </c>
      <c r="D12" s="11"/>
      <c r="E12" s="11"/>
      <c r="F12" s="39">
        <f>'March 2026'!AL12</f>
        <v>1731</v>
      </c>
      <c r="G12" s="33">
        <v>-63</v>
      </c>
      <c r="H12" s="33"/>
      <c r="I12" s="33">
        <f>-25+-23</f>
        <v>-48</v>
      </c>
      <c r="J12" s="33"/>
      <c r="K12" s="33"/>
      <c r="L12" s="33"/>
      <c r="M12" s="33"/>
      <c r="N12" s="33">
        <f>-79+-40</f>
        <v>-119</v>
      </c>
      <c r="O12" s="33"/>
      <c r="P12" s="33"/>
      <c r="Q12" s="33"/>
      <c r="R12" s="34">
        <v>1000</v>
      </c>
      <c r="S12" s="33">
        <v>-93</v>
      </c>
      <c r="T12" s="33"/>
      <c r="U12" s="33">
        <f>-30+-30</f>
        <v>-60</v>
      </c>
      <c r="V12" s="33"/>
      <c r="W12" s="33">
        <v>-44</v>
      </c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8">
        <f t="shared" si="0"/>
        <v>2304</v>
      </c>
      <c r="AL12">
        <v>200</v>
      </c>
      <c r="AM12">
        <v>250</v>
      </c>
      <c r="AN12">
        <v>1000</v>
      </c>
    </row>
    <row r="13" spans="1:41" hidden="1" x14ac:dyDescent="0.25">
      <c r="A13" s="11" t="s">
        <v>31</v>
      </c>
      <c r="B13" s="31" t="s">
        <v>37</v>
      </c>
      <c r="C13" s="20" t="s">
        <v>38</v>
      </c>
      <c r="D13" s="11"/>
      <c r="E13" s="11"/>
      <c r="F13" s="39">
        <f>'March 2026'!AL13</f>
        <v>1254</v>
      </c>
      <c r="G13" s="33"/>
      <c r="H13" s="33"/>
      <c r="I13" s="33">
        <v>-25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>
        <v>-30</v>
      </c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8">
        <f t="shared" si="0"/>
        <v>1199</v>
      </c>
      <c r="AL13">
        <v>200</v>
      </c>
      <c r="AM13">
        <v>250</v>
      </c>
      <c r="AN13">
        <v>1000</v>
      </c>
    </row>
    <row r="14" spans="1:41" hidden="1" x14ac:dyDescent="0.25">
      <c r="A14" s="11" t="s">
        <v>31</v>
      </c>
      <c r="B14" s="31" t="s">
        <v>39</v>
      </c>
      <c r="C14" s="20" t="s">
        <v>40</v>
      </c>
      <c r="D14" s="11"/>
      <c r="E14" s="11"/>
      <c r="F14" s="39">
        <f>'March 2026'!AL14</f>
        <v>603</v>
      </c>
      <c r="G14" s="33">
        <v>-54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8">
        <f t="shared" si="0"/>
        <v>549</v>
      </c>
      <c r="AL14">
        <v>200</v>
      </c>
      <c r="AM14">
        <v>250</v>
      </c>
      <c r="AN14">
        <v>1000</v>
      </c>
    </row>
    <row r="15" spans="1:41" hidden="1" x14ac:dyDescent="0.25">
      <c r="A15" s="11" t="s">
        <v>31</v>
      </c>
      <c r="B15" s="31" t="s">
        <v>41</v>
      </c>
      <c r="C15" s="20" t="s">
        <v>42</v>
      </c>
      <c r="D15" s="11"/>
      <c r="E15" s="11"/>
      <c r="F15" s="39">
        <f>'March 2026'!AL15</f>
        <v>1338</v>
      </c>
      <c r="G15" s="33"/>
      <c r="H15" s="33"/>
      <c r="I15" s="33">
        <v>-25</v>
      </c>
      <c r="J15" s="33"/>
      <c r="K15" s="33"/>
      <c r="L15" s="33"/>
      <c r="M15" s="33"/>
      <c r="N15" s="33">
        <v>-79</v>
      </c>
      <c r="O15" s="33"/>
      <c r="P15" s="33"/>
      <c r="Q15" s="33"/>
      <c r="R15" s="34">
        <v>1000</v>
      </c>
      <c r="S15" s="33">
        <v>-93</v>
      </c>
      <c r="T15" s="33"/>
      <c r="U15" s="33">
        <v>-30</v>
      </c>
      <c r="V15" s="33"/>
      <c r="W15" s="33">
        <v>-44</v>
      </c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8">
        <f t="shared" si="0"/>
        <v>2067</v>
      </c>
      <c r="AL15">
        <v>200</v>
      </c>
      <c r="AM15">
        <v>250</v>
      </c>
      <c r="AN15">
        <v>1000</v>
      </c>
    </row>
    <row r="16" spans="1:41" hidden="1" x14ac:dyDescent="0.25">
      <c r="A16" s="11" t="s">
        <v>31</v>
      </c>
      <c r="B16" s="31" t="s">
        <v>43</v>
      </c>
      <c r="C16" s="20" t="s">
        <v>44</v>
      </c>
      <c r="D16" s="11"/>
      <c r="E16" s="11"/>
      <c r="F16" s="39">
        <f>'March 2026'!AL16</f>
        <v>1833</v>
      </c>
      <c r="G16" s="33">
        <v>-81</v>
      </c>
      <c r="H16" s="33"/>
      <c r="I16" s="33">
        <f>-25+-46</f>
        <v>-71</v>
      </c>
      <c r="J16" s="33"/>
      <c r="K16" s="33"/>
      <c r="L16" s="33"/>
      <c r="M16" s="33"/>
      <c r="N16" s="33">
        <v>-158</v>
      </c>
      <c r="O16" s="33"/>
      <c r="P16" s="33"/>
      <c r="Q16" s="33"/>
      <c r="R16" s="40">
        <v>3000</v>
      </c>
      <c r="S16" s="33">
        <v>-186</v>
      </c>
      <c r="T16" s="33"/>
      <c r="U16" s="33">
        <v>-30</v>
      </c>
      <c r="V16" s="33"/>
      <c r="W16" s="33">
        <v>-88</v>
      </c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8">
        <f t="shared" si="0"/>
        <v>4219</v>
      </c>
      <c r="AL16">
        <v>200</v>
      </c>
      <c r="AM16">
        <v>250</v>
      </c>
      <c r="AN16">
        <v>1000</v>
      </c>
    </row>
    <row r="17" spans="1:41" hidden="1" x14ac:dyDescent="0.25">
      <c r="A17" s="11" t="s">
        <v>31</v>
      </c>
      <c r="B17" s="31" t="s">
        <v>45</v>
      </c>
      <c r="C17" s="20" t="s">
        <v>46</v>
      </c>
      <c r="D17" s="11"/>
      <c r="E17" s="11"/>
      <c r="F17" s="39">
        <f>'March 2026'!AL17</f>
        <v>74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8">
        <f t="shared" si="0"/>
        <v>74</v>
      </c>
      <c r="AO17" t="s">
        <v>216</v>
      </c>
    </row>
    <row r="18" spans="1:41" hidden="1" x14ac:dyDescent="0.25">
      <c r="A18" s="11" t="s">
        <v>31</v>
      </c>
      <c r="B18" s="31" t="s">
        <v>47</v>
      </c>
      <c r="C18" s="20" t="s">
        <v>48</v>
      </c>
      <c r="D18" s="11"/>
      <c r="E18" s="11"/>
      <c r="F18" s="39">
        <f>'March 2026'!AL18</f>
        <v>100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8">
        <f t="shared" si="0"/>
        <v>100</v>
      </c>
      <c r="AO18" t="s">
        <v>216</v>
      </c>
    </row>
    <row r="19" spans="1:41" hidden="1" x14ac:dyDescent="0.25">
      <c r="A19" s="11" t="s">
        <v>31</v>
      </c>
      <c r="B19" s="31" t="s">
        <v>49</v>
      </c>
      <c r="C19" s="20" t="s">
        <v>50</v>
      </c>
      <c r="D19" s="11"/>
      <c r="E19" s="11"/>
      <c r="F19" s="39">
        <f>'March 2026'!AL19</f>
        <v>74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8">
        <f t="shared" si="0"/>
        <v>74</v>
      </c>
      <c r="AO19" t="s">
        <v>216</v>
      </c>
    </row>
    <row r="20" spans="1:41" hidden="1" x14ac:dyDescent="0.25">
      <c r="A20" s="11" t="s">
        <v>31</v>
      </c>
      <c r="B20" s="31" t="s">
        <v>51</v>
      </c>
      <c r="C20" s="20" t="s">
        <v>52</v>
      </c>
      <c r="D20" s="11"/>
      <c r="E20" s="11"/>
      <c r="F20" s="39">
        <f>'March 2026'!AL20</f>
        <v>210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8">
        <f t="shared" si="0"/>
        <v>210</v>
      </c>
      <c r="AO20" t="s">
        <v>216</v>
      </c>
    </row>
    <row r="21" spans="1:41" hidden="1" x14ac:dyDescent="0.25">
      <c r="A21" s="11" t="s">
        <v>31</v>
      </c>
      <c r="B21" s="31" t="s">
        <v>53</v>
      </c>
      <c r="C21" s="20" t="s">
        <v>54</v>
      </c>
      <c r="D21" s="11"/>
      <c r="E21" s="11"/>
      <c r="F21" s="39">
        <f>'March 2026'!AL21</f>
        <v>100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8">
        <f t="shared" si="0"/>
        <v>100</v>
      </c>
      <c r="AO21" t="s">
        <v>216</v>
      </c>
    </row>
    <row r="22" spans="1:41" hidden="1" x14ac:dyDescent="0.25">
      <c r="A22" s="11" t="s">
        <v>31</v>
      </c>
      <c r="B22" s="31" t="s">
        <v>55</v>
      </c>
      <c r="C22" s="20" t="s">
        <v>56</v>
      </c>
      <c r="D22" s="11"/>
      <c r="E22" s="11"/>
      <c r="F22" s="39">
        <f>'March 2026'!AL22</f>
        <v>132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8">
        <f t="shared" si="0"/>
        <v>132</v>
      </c>
      <c r="AO22" t="s">
        <v>216</v>
      </c>
    </row>
    <row r="23" spans="1:41" hidden="1" x14ac:dyDescent="0.25">
      <c r="A23" s="11" t="s">
        <v>31</v>
      </c>
      <c r="B23" s="31" t="s">
        <v>57</v>
      </c>
      <c r="C23" s="20" t="s">
        <v>58</v>
      </c>
      <c r="D23" s="11"/>
      <c r="E23" s="11"/>
      <c r="F23" s="39">
        <f>'March 2026'!AL23</f>
        <v>916</v>
      </c>
      <c r="G23" s="33">
        <f>-27+-16</f>
        <v>-43</v>
      </c>
      <c r="H23" s="33"/>
      <c r="I23" s="33">
        <v>-46</v>
      </c>
      <c r="J23" s="33"/>
      <c r="K23" s="33"/>
      <c r="L23" s="33"/>
      <c r="M23" s="33"/>
      <c r="N23" s="33">
        <f>-158+-120</f>
        <v>-278</v>
      </c>
      <c r="O23" s="33"/>
      <c r="P23" s="33"/>
      <c r="Q23" s="33"/>
      <c r="R23" s="40">
        <v>3000</v>
      </c>
      <c r="S23" s="33">
        <v>-186</v>
      </c>
      <c r="T23" s="33"/>
      <c r="U23" s="33">
        <v>-30</v>
      </c>
      <c r="V23" s="33"/>
      <c r="W23" s="33">
        <v>-88</v>
      </c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8">
        <f t="shared" si="0"/>
        <v>3245</v>
      </c>
      <c r="AL23">
        <v>200</v>
      </c>
      <c r="AM23">
        <v>250</v>
      </c>
      <c r="AN23">
        <v>1000</v>
      </c>
    </row>
    <row r="24" spans="1:41" hidden="1" x14ac:dyDescent="0.25">
      <c r="A24" s="11" t="s">
        <v>32</v>
      </c>
      <c r="B24" s="31" t="s">
        <v>59</v>
      </c>
      <c r="C24" s="20" t="s">
        <v>60</v>
      </c>
      <c r="D24" s="11"/>
      <c r="E24" s="11"/>
      <c r="F24" s="39">
        <f>'March 2026'!AL24</f>
        <v>8</v>
      </c>
      <c r="G24" s="33"/>
      <c r="H24" s="33"/>
      <c r="I24" s="33"/>
      <c r="J24" s="33"/>
      <c r="K24" s="33"/>
      <c r="L24" s="33"/>
      <c r="M24" s="33">
        <v>-2</v>
      </c>
      <c r="N24" s="33"/>
      <c r="O24" s="33"/>
      <c r="P24" s="33"/>
      <c r="Q24" s="33"/>
      <c r="R24" s="40">
        <v>100</v>
      </c>
      <c r="S24" s="33">
        <v>-12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8">
        <f t="shared" si="0"/>
        <v>94</v>
      </c>
      <c r="AL24">
        <v>50</v>
      </c>
      <c r="AM24">
        <v>100</v>
      </c>
      <c r="AN24">
        <v>150</v>
      </c>
    </row>
    <row r="25" spans="1:41" hidden="1" x14ac:dyDescent="0.25">
      <c r="A25" s="11" t="s">
        <v>31</v>
      </c>
      <c r="B25" s="31" t="s">
        <v>61</v>
      </c>
      <c r="C25" s="20" t="s">
        <v>62</v>
      </c>
      <c r="D25" s="11"/>
      <c r="E25" s="11"/>
      <c r="F25" s="39">
        <f>'March 2026'!AL25</f>
        <v>100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8">
        <f t="shared" si="0"/>
        <v>100</v>
      </c>
      <c r="AO25" t="s">
        <v>216</v>
      </c>
    </row>
    <row r="26" spans="1:41" hidden="1" x14ac:dyDescent="0.25">
      <c r="A26" s="11" t="s">
        <v>31</v>
      </c>
      <c r="B26" s="31" t="s">
        <v>63</v>
      </c>
      <c r="C26" s="20" t="s">
        <v>64</v>
      </c>
      <c r="D26" s="11"/>
      <c r="E26" s="11"/>
      <c r="F26" s="39">
        <f>'March 2026'!AL26</f>
        <v>265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8">
        <f t="shared" si="0"/>
        <v>265</v>
      </c>
      <c r="AO26" t="s">
        <v>216</v>
      </c>
    </row>
    <row r="27" spans="1:41" hidden="1" x14ac:dyDescent="0.25">
      <c r="A27" s="11" t="s">
        <v>31</v>
      </c>
      <c r="B27" s="31" t="s">
        <v>65</v>
      </c>
      <c r="C27" s="20" t="s">
        <v>66</v>
      </c>
      <c r="D27" s="11"/>
      <c r="E27" s="11"/>
      <c r="F27" s="39">
        <f>'March 2026'!AL27</f>
        <v>0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8">
        <f t="shared" si="0"/>
        <v>0</v>
      </c>
      <c r="AO27" t="s">
        <v>216</v>
      </c>
    </row>
    <row r="28" spans="1:41" hidden="1" x14ac:dyDescent="0.25">
      <c r="A28" s="11" t="s">
        <v>31</v>
      </c>
      <c r="B28" s="31" t="s">
        <v>67</v>
      </c>
      <c r="C28" s="20" t="s">
        <v>68</v>
      </c>
      <c r="D28" s="11"/>
      <c r="E28" s="11"/>
      <c r="F28" s="39">
        <f>'March 2026'!AL28</f>
        <v>76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8">
        <f t="shared" si="0"/>
        <v>76</v>
      </c>
      <c r="AO28" t="s">
        <v>216</v>
      </c>
    </row>
    <row r="29" spans="1:41" hidden="1" x14ac:dyDescent="0.25">
      <c r="A29" s="11" t="s">
        <v>31</v>
      </c>
      <c r="B29" s="31" t="s">
        <v>69</v>
      </c>
      <c r="C29" s="20" t="s">
        <v>70</v>
      </c>
      <c r="D29" s="11"/>
      <c r="E29" s="11"/>
      <c r="F29" s="39">
        <f>'March 2026'!AL29</f>
        <v>1478</v>
      </c>
      <c r="G29" s="33">
        <v>-54</v>
      </c>
      <c r="H29" s="33"/>
      <c r="I29" s="33"/>
      <c r="J29" s="33"/>
      <c r="K29" s="33"/>
      <c r="L29" s="33"/>
      <c r="M29" s="33"/>
      <c r="N29" s="33">
        <v>-127</v>
      </c>
      <c r="O29" s="33">
        <v>-553</v>
      </c>
      <c r="P29" s="33"/>
      <c r="Q29" s="33"/>
      <c r="R29" s="33"/>
      <c r="S29" s="40">
        <v>5000</v>
      </c>
      <c r="T29" s="33"/>
      <c r="U29" s="33">
        <v>-30</v>
      </c>
      <c r="V29" s="33">
        <v>-480</v>
      </c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8">
        <f t="shared" si="0"/>
        <v>5234</v>
      </c>
      <c r="AL29">
        <v>200</v>
      </c>
      <c r="AM29">
        <v>250</v>
      </c>
      <c r="AN29">
        <v>1000</v>
      </c>
    </row>
    <row r="30" spans="1:41" hidden="1" x14ac:dyDescent="0.25">
      <c r="A30" s="11" t="s">
        <v>31</v>
      </c>
      <c r="B30" s="31" t="s">
        <v>71</v>
      </c>
      <c r="C30" s="20" t="s">
        <v>72</v>
      </c>
      <c r="D30" s="11"/>
      <c r="E30" s="11"/>
      <c r="F30" s="39">
        <f>'March 2026'!AL30</f>
        <v>745</v>
      </c>
      <c r="G30" s="33">
        <v>-27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8">
        <f t="shared" si="0"/>
        <v>718</v>
      </c>
      <c r="AL30">
        <v>200</v>
      </c>
      <c r="AM30">
        <v>250</v>
      </c>
      <c r="AN30">
        <v>1000</v>
      </c>
    </row>
    <row r="31" spans="1:41" hidden="1" x14ac:dyDescent="0.25">
      <c r="A31" s="11" t="s">
        <v>31</v>
      </c>
      <c r="B31" s="31" t="s">
        <v>73</v>
      </c>
      <c r="C31" s="20" t="s">
        <v>74</v>
      </c>
      <c r="D31" s="11"/>
      <c r="E31" s="11"/>
      <c r="F31" s="39">
        <f>'March 2026'!AL31</f>
        <v>65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8">
        <f t="shared" si="0"/>
        <v>65</v>
      </c>
      <c r="AO31" t="s">
        <v>216</v>
      </c>
    </row>
    <row r="32" spans="1:41" hidden="1" x14ac:dyDescent="0.25">
      <c r="A32" s="11" t="s">
        <v>31</v>
      </c>
      <c r="B32" s="31" t="s">
        <v>75</v>
      </c>
      <c r="C32" s="20" t="s">
        <v>76</v>
      </c>
      <c r="D32" s="11"/>
      <c r="E32" s="11"/>
      <c r="F32" s="39">
        <f>'March 2026'!AL32</f>
        <v>198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8">
        <f t="shared" si="0"/>
        <v>198</v>
      </c>
      <c r="AO32" t="s">
        <v>216</v>
      </c>
    </row>
    <row r="33" spans="1:41" hidden="1" x14ac:dyDescent="0.25">
      <c r="A33" s="11" t="s">
        <v>31</v>
      </c>
      <c r="B33" s="31" t="s">
        <v>77</v>
      </c>
      <c r="C33" s="20" t="s">
        <v>78</v>
      </c>
      <c r="D33" s="11"/>
      <c r="E33" s="11"/>
      <c r="F33" s="39">
        <f>'March 2026'!AL33</f>
        <v>87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8">
        <f t="shared" si="0"/>
        <v>87</v>
      </c>
      <c r="AO33" t="s">
        <v>216</v>
      </c>
    </row>
    <row r="34" spans="1:41" hidden="1" x14ac:dyDescent="0.25">
      <c r="A34" s="11" t="s">
        <v>31</v>
      </c>
      <c r="B34" s="31" t="s">
        <v>79</v>
      </c>
      <c r="C34" s="20" t="s">
        <v>80</v>
      </c>
      <c r="D34" s="11"/>
      <c r="E34" s="11"/>
      <c r="F34" s="39">
        <f>'March 2026'!AL34</f>
        <v>40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8">
        <f t="shared" si="0"/>
        <v>40</v>
      </c>
      <c r="AO34" t="s">
        <v>216</v>
      </c>
    </row>
    <row r="35" spans="1:41" hidden="1" x14ac:dyDescent="0.25">
      <c r="A35" s="11" t="s">
        <v>31</v>
      </c>
      <c r="B35" s="31" t="s">
        <v>81</v>
      </c>
      <c r="C35" s="20" t="s">
        <v>82</v>
      </c>
      <c r="D35" s="11"/>
      <c r="E35" s="11"/>
      <c r="F35" s="39">
        <f>'March 2026'!AL35</f>
        <v>308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8">
        <f t="shared" si="0"/>
        <v>308</v>
      </c>
      <c r="AO35" t="s">
        <v>216</v>
      </c>
    </row>
    <row r="36" spans="1:41" hidden="1" x14ac:dyDescent="0.25">
      <c r="A36" s="11" t="s">
        <v>31</v>
      </c>
      <c r="B36" s="31" t="s">
        <v>83</v>
      </c>
      <c r="C36" s="20" t="s">
        <v>84</v>
      </c>
      <c r="D36" s="11"/>
      <c r="E36" s="11"/>
      <c r="F36" s="39">
        <f>'March 2026'!AL36</f>
        <v>330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8">
        <f t="shared" si="0"/>
        <v>330</v>
      </c>
      <c r="AO36" t="s">
        <v>216</v>
      </c>
    </row>
    <row r="37" spans="1:41" hidden="1" x14ac:dyDescent="0.25">
      <c r="A37" s="11" t="s">
        <v>31</v>
      </c>
      <c r="B37" s="31" t="s">
        <v>85</v>
      </c>
      <c r="C37" s="20" t="s">
        <v>86</v>
      </c>
      <c r="D37" s="11"/>
      <c r="E37" s="11"/>
      <c r="F37" s="39">
        <f>'March 2026'!AL37</f>
        <v>1056</v>
      </c>
      <c r="G37" s="33"/>
      <c r="H37" s="33"/>
      <c r="I37" s="33"/>
      <c r="J37" s="33"/>
      <c r="K37" s="33"/>
      <c r="L37" s="33"/>
      <c r="M37" s="33"/>
      <c r="N37" s="33">
        <v>-79</v>
      </c>
      <c r="O37" s="33"/>
      <c r="P37" s="33"/>
      <c r="Q37" s="33"/>
      <c r="R37" s="34"/>
      <c r="S37" s="33">
        <v>-93</v>
      </c>
      <c r="T37" s="33"/>
      <c r="U37" s="33"/>
      <c r="V37" s="33"/>
      <c r="W37" s="33">
        <v>-44</v>
      </c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8">
        <f t="shared" si="0"/>
        <v>840</v>
      </c>
      <c r="AL37">
        <v>200</v>
      </c>
      <c r="AM37">
        <v>250</v>
      </c>
      <c r="AN37">
        <v>1000</v>
      </c>
    </row>
    <row r="38" spans="1:41" hidden="1" x14ac:dyDescent="0.25">
      <c r="A38" s="11" t="s">
        <v>31</v>
      </c>
      <c r="B38" s="31" t="s">
        <v>87</v>
      </c>
      <c r="C38" s="20" t="s">
        <v>88</v>
      </c>
      <c r="D38" s="11"/>
      <c r="E38" s="11"/>
      <c r="F38" s="39">
        <f>'March 2026'!AL38</f>
        <v>299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8">
        <f t="shared" si="0"/>
        <v>299</v>
      </c>
      <c r="AO38" t="s">
        <v>216</v>
      </c>
    </row>
    <row r="39" spans="1:41" hidden="1" x14ac:dyDescent="0.25">
      <c r="A39" s="11" t="s">
        <v>31</v>
      </c>
      <c r="B39" s="31" t="s">
        <v>89</v>
      </c>
      <c r="C39" s="20" t="s">
        <v>90</v>
      </c>
      <c r="D39" s="11"/>
      <c r="E39" s="11"/>
      <c r="F39" s="39">
        <f>'March 2026'!AL39</f>
        <v>165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8">
        <f t="shared" si="0"/>
        <v>165</v>
      </c>
      <c r="AO39" t="s">
        <v>216</v>
      </c>
    </row>
    <row r="40" spans="1:41" hidden="1" x14ac:dyDescent="0.25">
      <c r="A40" s="11" t="s">
        <v>31</v>
      </c>
      <c r="B40" s="31" t="s">
        <v>91</v>
      </c>
      <c r="C40" s="20" t="s">
        <v>92</v>
      </c>
      <c r="D40" s="11"/>
      <c r="E40" s="11"/>
      <c r="F40" s="39">
        <f>'March 2026'!AL40</f>
        <v>135</v>
      </c>
      <c r="G40" s="33">
        <v>-16</v>
      </c>
      <c r="H40" s="33"/>
      <c r="I40" s="33">
        <v>-23</v>
      </c>
      <c r="J40" s="33"/>
      <c r="K40" s="33"/>
      <c r="L40" s="33"/>
      <c r="M40" s="33"/>
      <c r="N40" s="33"/>
      <c r="O40" s="33"/>
      <c r="P40" s="33"/>
      <c r="Q40" s="33"/>
      <c r="R40" s="33"/>
      <c r="S40" s="40">
        <v>500</v>
      </c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8">
        <f t="shared" si="0"/>
        <v>596</v>
      </c>
      <c r="AL40">
        <v>200</v>
      </c>
      <c r="AM40">
        <v>250</v>
      </c>
      <c r="AN40">
        <v>1000</v>
      </c>
    </row>
    <row r="41" spans="1:41" hidden="1" x14ac:dyDescent="0.25">
      <c r="A41" s="11" t="s">
        <v>31</v>
      </c>
      <c r="B41" s="31" t="s">
        <v>93</v>
      </c>
      <c r="C41" s="20" t="s">
        <v>94</v>
      </c>
      <c r="D41" s="11"/>
      <c r="E41" s="11"/>
      <c r="F41" s="39">
        <f>'March 2026'!AL41</f>
        <v>-49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8">
        <f t="shared" si="0"/>
        <v>-49</v>
      </c>
      <c r="AL41">
        <v>200</v>
      </c>
      <c r="AM41">
        <v>250</v>
      </c>
      <c r="AN41">
        <v>1000</v>
      </c>
    </row>
    <row r="42" spans="1:41" hidden="1" x14ac:dyDescent="0.25">
      <c r="A42" s="11" t="s">
        <v>31</v>
      </c>
      <c r="B42" s="31" t="s">
        <v>95</v>
      </c>
      <c r="C42" s="20" t="s">
        <v>96</v>
      </c>
      <c r="D42" s="11"/>
      <c r="E42" s="11"/>
      <c r="F42" s="39">
        <f>'March 2026'!AL42</f>
        <v>270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8">
        <f t="shared" si="0"/>
        <v>270</v>
      </c>
      <c r="AL42">
        <v>200</v>
      </c>
      <c r="AM42">
        <v>250</v>
      </c>
      <c r="AN42">
        <v>1000</v>
      </c>
    </row>
    <row r="43" spans="1:41" hidden="1" x14ac:dyDescent="0.25">
      <c r="A43" s="11" t="s">
        <v>31</v>
      </c>
      <c r="B43" s="31" t="s">
        <v>97</v>
      </c>
      <c r="C43" s="20" t="s">
        <v>98</v>
      </c>
      <c r="D43" s="11"/>
      <c r="E43" s="11"/>
      <c r="F43" s="39">
        <f>'March 2026'!AL43</f>
        <v>198</v>
      </c>
      <c r="G43" s="33"/>
      <c r="H43" s="33"/>
      <c r="I43" s="33"/>
      <c r="J43" s="33"/>
      <c r="K43" s="33"/>
      <c r="L43" s="33"/>
      <c r="M43" s="33">
        <v>-2</v>
      </c>
      <c r="N43" s="33"/>
      <c r="O43" s="33"/>
      <c r="P43" s="33"/>
      <c r="Q43" s="33"/>
      <c r="R43" s="34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8">
        <f t="shared" ref="AK43:AK74" si="1">F43+SUM(G43:AJ43)</f>
        <v>196</v>
      </c>
      <c r="AL43">
        <v>200</v>
      </c>
      <c r="AM43">
        <v>250</v>
      </c>
      <c r="AN43">
        <v>1000</v>
      </c>
    </row>
    <row r="44" spans="1:41" hidden="1" x14ac:dyDescent="0.25">
      <c r="A44" s="11" t="s">
        <v>31</v>
      </c>
      <c r="B44" s="31" t="s">
        <v>99</v>
      </c>
      <c r="C44" s="20" t="s">
        <v>100</v>
      </c>
      <c r="D44" s="11"/>
      <c r="E44" s="11"/>
      <c r="F44" s="39">
        <f>'March 2026'!AL44</f>
        <v>-394</v>
      </c>
      <c r="G44" s="33"/>
      <c r="H44" s="33"/>
      <c r="I44" s="33"/>
      <c r="J44" s="33"/>
      <c r="K44" s="33"/>
      <c r="L44" s="33"/>
      <c r="M44" s="33">
        <v>-2</v>
      </c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8">
        <f t="shared" si="1"/>
        <v>-396</v>
      </c>
      <c r="AL44">
        <v>200</v>
      </c>
      <c r="AM44">
        <v>250</v>
      </c>
      <c r="AN44">
        <v>1000</v>
      </c>
    </row>
    <row r="45" spans="1:41" hidden="1" x14ac:dyDescent="0.25">
      <c r="A45" s="11" t="s">
        <v>31</v>
      </c>
      <c r="B45" s="31" t="s">
        <v>101</v>
      </c>
      <c r="C45" s="20" t="s">
        <v>102</v>
      </c>
      <c r="D45" s="11"/>
      <c r="E45" s="11"/>
      <c r="F45" s="39">
        <f>'March 2026'!AL45</f>
        <v>92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8">
        <f t="shared" si="1"/>
        <v>92</v>
      </c>
      <c r="AL45">
        <v>200</v>
      </c>
      <c r="AM45">
        <v>250</v>
      </c>
      <c r="AN45">
        <v>1000</v>
      </c>
    </row>
    <row r="46" spans="1:41" hidden="1" x14ac:dyDescent="0.25">
      <c r="A46" s="11" t="s">
        <v>31</v>
      </c>
      <c r="B46" s="31" t="s">
        <v>103</v>
      </c>
      <c r="C46" s="20" t="s">
        <v>104</v>
      </c>
      <c r="D46" s="11"/>
      <c r="E46" s="11"/>
      <c r="F46" s="39">
        <f>'March 2026'!AL46</f>
        <v>197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8">
        <f t="shared" si="1"/>
        <v>197</v>
      </c>
      <c r="AL46">
        <v>200</v>
      </c>
      <c r="AM46">
        <v>250</v>
      </c>
      <c r="AN46">
        <v>1000</v>
      </c>
    </row>
    <row r="47" spans="1:41" hidden="1" x14ac:dyDescent="0.25">
      <c r="A47" s="11" t="s">
        <v>31</v>
      </c>
      <c r="B47" s="31" t="s">
        <v>105</v>
      </c>
      <c r="C47" s="20" t="s">
        <v>106</v>
      </c>
      <c r="D47" s="11"/>
      <c r="E47" s="11"/>
      <c r="F47" s="39">
        <f>'March 2026'!AL47</f>
        <v>100</v>
      </c>
      <c r="G47" s="33"/>
      <c r="H47" s="33"/>
      <c r="I47" s="33"/>
      <c r="J47" s="33"/>
      <c r="K47" s="33"/>
      <c r="L47" s="34">
        <v>500</v>
      </c>
      <c r="M47" s="33">
        <v>-50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8">
        <f t="shared" si="1"/>
        <v>550</v>
      </c>
      <c r="AL47">
        <v>200</v>
      </c>
      <c r="AM47">
        <v>250</v>
      </c>
      <c r="AN47">
        <v>1000</v>
      </c>
    </row>
    <row r="48" spans="1:41" hidden="1" x14ac:dyDescent="0.25">
      <c r="A48" s="11" t="s">
        <v>31</v>
      </c>
      <c r="B48" s="31" t="s">
        <v>107</v>
      </c>
      <c r="C48" s="20" t="s">
        <v>108</v>
      </c>
      <c r="D48" s="11"/>
      <c r="E48" s="11"/>
      <c r="F48" s="39">
        <f>'March 2026'!AL48</f>
        <v>-331</v>
      </c>
      <c r="G48" s="33"/>
      <c r="H48" s="33"/>
      <c r="I48" s="33"/>
      <c r="J48" s="33"/>
      <c r="K48" s="33"/>
      <c r="L48" s="33"/>
      <c r="M48" s="33">
        <v>-4</v>
      </c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8">
        <f t="shared" si="1"/>
        <v>-335</v>
      </c>
      <c r="AL48">
        <v>200</v>
      </c>
      <c r="AM48">
        <v>250</v>
      </c>
      <c r="AN48">
        <v>1000</v>
      </c>
    </row>
    <row r="49" spans="1:41" hidden="1" x14ac:dyDescent="0.25">
      <c r="A49" s="11" t="s">
        <v>210</v>
      </c>
      <c r="B49" s="31" t="s">
        <v>95</v>
      </c>
      <c r="C49" s="20" t="s">
        <v>109</v>
      </c>
      <c r="D49" s="11"/>
      <c r="E49" s="11"/>
      <c r="F49" s="39">
        <f>'March 2026'!AL49</f>
        <v>20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8">
        <f t="shared" si="1"/>
        <v>20</v>
      </c>
      <c r="AO49" t="s">
        <v>217</v>
      </c>
    </row>
    <row r="50" spans="1:41" hidden="1" x14ac:dyDescent="0.25">
      <c r="A50" s="11" t="s">
        <v>210</v>
      </c>
      <c r="B50" s="31" t="s">
        <v>97</v>
      </c>
      <c r="C50" s="20" t="s">
        <v>110</v>
      </c>
      <c r="D50" s="11"/>
      <c r="E50" s="11"/>
      <c r="F50" s="39">
        <f>'March 2026'!AL50</f>
        <v>20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8">
        <f t="shared" si="1"/>
        <v>20</v>
      </c>
      <c r="AO50" t="s">
        <v>217</v>
      </c>
    </row>
    <row r="51" spans="1:41" hidden="1" x14ac:dyDescent="0.25">
      <c r="A51" s="11" t="s">
        <v>31</v>
      </c>
      <c r="B51" s="31" t="s">
        <v>111</v>
      </c>
      <c r="C51" s="20" t="s">
        <v>112</v>
      </c>
      <c r="D51" s="11"/>
      <c r="E51" s="11"/>
      <c r="F51" s="39">
        <f>'March 2026'!AL51</f>
        <v>694</v>
      </c>
      <c r="G51" s="33"/>
      <c r="H51" s="33"/>
      <c r="I51" s="33"/>
      <c r="J51" s="33"/>
      <c r="K51" s="33"/>
      <c r="L51" s="34">
        <v>1000</v>
      </c>
      <c r="M51" s="33">
        <f>-100+-4</f>
        <v>-104</v>
      </c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8">
        <f t="shared" si="1"/>
        <v>1590</v>
      </c>
      <c r="AL51">
        <v>200</v>
      </c>
      <c r="AM51">
        <v>250</v>
      </c>
      <c r="AN51">
        <v>1000</v>
      </c>
    </row>
    <row r="52" spans="1:41" hidden="1" x14ac:dyDescent="0.25">
      <c r="A52" s="11" t="s">
        <v>31</v>
      </c>
      <c r="B52" s="31" t="s">
        <v>113</v>
      </c>
      <c r="C52" s="20" t="s">
        <v>114</v>
      </c>
      <c r="D52" s="11"/>
      <c r="E52" s="11"/>
      <c r="F52" s="39">
        <f>'March 2026'!AL52</f>
        <v>733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8">
        <f t="shared" si="1"/>
        <v>733</v>
      </c>
      <c r="AL52">
        <v>200</v>
      </c>
      <c r="AM52">
        <v>250</v>
      </c>
      <c r="AN52">
        <v>1000</v>
      </c>
    </row>
    <row r="53" spans="1:41" hidden="1" x14ac:dyDescent="0.25">
      <c r="A53" s="11" t="s">
        <v>211</v>
      </c>
      <c r="B53" s="31" t="s">
        <v>115</v>
      </c>
      <c r="C53" s="20" t="s">
        <v>116</v>
      </c>
      <c r="D53" s="11"/>
      <c r="E53" s="11"/>
      <c r="F53" s="39">
        <f>'March 2026'!AL53</f>
        <v>709</v>
      </c>
      <c r="G53" s="33">
        <v>-27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8">
        <f t="shared" si="1"/>
        <v>682</v>
      </c>
      <c r="AL53">
        <v>200</v>
      </c>
      <c r="AM53">
        <v>250</v>
      </c>
      <c r="AN53">
        <v>1000</v>
      </c>
    </row>
    <row r="54" spans="1:41" hidden="1" x14ac:dyDescent="0.25">
      <c r="A54" s="11" t="s">
        <v>31</v>
      </c>
      <c r="B54" s="31" t="s">
        <v>117</v>
      </c>
      <c r="C54" s="20" t="s">
        <v>118</v>
      </c>
      <c r="D54" s="11"/>
      <c r="E54" s="11"/>
      <c r="F54" s="39">
        <f>'March 2026'!AL54</f>
        <v>429</v>
      </c>
      <c r="G54" s="33">
        <v>-27</v>
      </c>
      <c r="H54" s="33"/>
      <c r="I54" s="33"/>
      <c r="J54" s="33"/>
      <c r="K54" s="33"/>
      <c r="L54" s="33"/>
      <c r="M54" s="33">
        <v>-2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8">
        <f t="shared" si="1"/>
        <v>400</v>
      </c>
      <c r="AL54">
        <v>200</v>
      </c>
      <c r="AM54">
        <v>250</v>
      </c>
      <c r="AN54">
        <v>1000</v>
      </c>
    </row>
    <row r="55" spans="1:41" hidden="1" x14ac:dyDescent="0.25">
      <c r="A55" s="11" t="s">
        <v>31</v>
      </c>
      <c r="B55" s="31" t="s">
        <v>119</v>
      </c>
      <c r="C55" s="20" t="s">
        <v>120</v>
      </c>
      <c r="D55" s="11"/>
      <c r="E55" s="11"/>
      <c r="F55" s="39">
        <f>'March 2026'!AL55</f>
        <v>33</v>
      </c>
      <c r="G55" s="33"/>
      <c r="H55" s="33"/>
      <c r="I55" s="33">
        <v>-37</v>
      </c>
      <c r="J55" s="33"/>
      <c r="K55" s="33"/>
      <c r="L55" s="33">
        <v>-13</v>
      </c>
      <c r="M55" s="33"/>
      <c r="N55" s="33"/>
      <c r="O55" s="33">
        <v>-80</v>
      </c>
      <c r="P55" s="33"/>
      <c r="Q55" s="33"/>
      <c r="R55" s="33"/>
      <c r="S55" s="33"/>
      <c r="T55" s="33"/>
      <c r="U55" s="33">
        <f>-60+-60</f>
        <v>-120</v>
      </c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8">
        <f t="shared" si="1"/>
        <v>-217</v>
      </c>
      <c r="AL55">
        <v>200</v>
      </c>
      <c r="AM55">
        <v>250</v>
      </c>
      <c r="AN55">
        <v>1000</v>
      </c>
    </row>
    <row r="56" spans="1:41" hidden="1" x14ac:dyDescent="0.25">
      <c r="A56" s="11" t="s">
        <v>211</v>
      </c>
      <c r="B56" s="31" t="s">
        <v>121</v>
      </c>
      <c r="C56" s="20" t="s">
        <v>122</v>
      </c>
      <c r="D56" s="11"/>
      <c r="E56" s="11"/>
      <c r="F56" s="39">
        <f>'March 2026'!AL56</f>
        <v>174</v>
      </c>
      <c r="G56" s="33"/>
      <c r="H56" s="33"/>
      <c r="I56" s="33">
        <v>-23</v>
      </c>
      <c r="J56" s="33"/>
      <c r="K56" s="33"/>
      <c r="L56" s="33">
        <v>-23</v>
      </c>
      <c r="M56" s="33">
        <f>-4+-2</f>
        <v>-6</v>
      </c>
      <c r="N56" s="33">
        <v>-158</v>
      </c>
      <c r="O56" s="33"/>
      <c r="P56" s="33"/>
      <c r="Q56" s="33"/>
      <c r="R56" s="40">
        <v>3000</v>
      </c>
      <c r="S56" s="33">
        <f>-24+-28+-186</f>
        <v>-238</v>
      </c>
      <c r="T56" s="33"/>
      <c r="U56" s="33"/>
      <c r="V56" s="33"/>
      <c r="W56" s="33">
        <v>-88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8">
        <f t="shared" si="1"/>
        <v>2638</v>
      </c>
      <c r="AL56">
        <v>200</v>
      </c>
      <c r="AM56">
        <v>250</v>
      </c>
      <c r="AN56">
        <v>1000</v>
      </c>
    </row>
    <row r="57" spans="1:41" hidden="1" x14ac:dyDescent="0.25">
      <c r="A57" s="11" t="s">
        <v>31</v>
      </c>
      <c r="B57" s="31" t="s">
        <v>123</v>
      </c>
      <c r="C57" s="20" t="s">
        <v>124</v>
      </c>
      <c r="D57" s="11"/>
      <c r="E57" s="11"/>
      <c r="F57" s="39">
        <f>'March 2026'!AL57</f>
        <v>112</v>
      </c>
      <c r="G57" s="33"/>
      <c r="H57" s="33"/>
      <c r="I57" s="33">
        <v>-25</v>
      </c>
      <c r="J57" s="33"/>
      <c r="K57" s="33"/>
      <c r="L57" s="33"/>
      <c r="M57" s="33"/>
      <c r="N57" s="33"/>
      <c r="O57" s="33"/>
      <c r="P57" s="33"/>
      <c r="Q57" s="33"/>
      <c r="R57" s="33"/>
      <c r="S57" s="40">
        <v>301</v>
      </c>
      <c r="T57" s="33"/>
      <c r="U57" s="33">
        <f>-30+-30</f>
        <v>-60</v>
      </c>
      <c r="V57" s="33"/>
      <c r="W57" s="40">
        <v>1000</v>
      </c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8">
        <f t="shared" si="1"/>
        <v>1328</v>
      </c>
      <c r="AL57">
        <v>200</v>
      </c>
      <c r="AM57">
        <v>250</v>
      </c>
      <c r="AN57">
        <v>1000</v>
      </c>
    </row>
    <row r="58" spans="1:41" hidden="1" x14ac:dyDescent="0.25">
      <c r="A58" s="11" t="s">
        <v>211</v>
      </c>
      <c r="B58" s="31" t="s">
        <v>125</v>
      </c>
      <c r="C58" s="20" t="s">
        <v>126</v>
      </c>
      <c r="D58" s="11"/>
      <c r="E58" s="11"/>
      <c r="F58" s="39">
        <f>'March 2026'!AL58</f>
        <v>44</v>
      </c>
      <c r="G58" s="33"/>
      <c r="H58" s="33"/>
      <c r="I58" s="33">
        <v>-23</v>
      </c>
      <c r="J58" s="33"/>
      <c r="K58" s="33"/>
      <c r="L58" s="34">
        <v>1000</v>
      </c>
      <c r="M58" s="33">
        <v>-2</v>
      </c>
      <c r="N58" s="33">
        <v>-65</v>
      </c>
      <c r="O58" s="33"/>
      <c r="P58" s="33"/>
      <c r="Q58" s="33"/>
      <c r="R58" s="40">
        <v>1200</v>
      </c>
      <c r="S58" s="33">
        <f>-14+-93</f>
        <v>-107</v>
      </c>
      <c r="T58" s="33"/>
      <c r="U58" s="33"/>
      <c r="V58" s="33"/>
      <c r="W58" s="33">
        <v>-44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8">
        <f t="shared" si="1"/>
        <v>2003</v>
      </c>
      <c r="AL58">
        <v>200</v>
      </c>
      <c r="AM58">
        <v>250</v>
      </c>
      <c r="AN58">
        <v>1000</v>
      </c>
    </row>
    <row r="59" spans="1:41" hidden="1" x14ac:dyDescent="0.25">
      <c r="A59" s="11" t="s">
        <v>31</v>
      </c>
      <c r="B59" s="31" t="s">
        <v>127</v>
      </c>
      <c r="C59" s="20" t="s">
        <v>128</v>
      </c>
      <c r="D59" s="11"/>
      <c r="E59" s="11"/>
      <c r="F59" s="39">
        <f>'March 2026'!AL59</f>
        <v>0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8">
        <f t="shared" si="1"/>
        <v>0</v>
      </c>
      <c r="AO59" t="s">
        <v>216</v>
      </c>
    </row>
    <row r="60" spans="1:41" hidden="1" x14ac:dyDescent="0.25">
      <c r="A60" s="11" t="s">
        <v>31</v>
      </c>
      <c r="B60" s="31" t="s">
        <v>129</v>
      </c>
      <c r="C60" s="20" t="s">
        <v>130</v>
      </c>
      <c r="D60" s="11"/>
      <c r="E60" s="11"/>
      <c r="F60" s="39">
        <f>'March 2026'!AL60</f>
        <v>0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8">
        <f t="shared" si="1"/>
        <v>0</v>
      </c>
      <c r="AO60" t="s">
        <v>216</v>
      </c>
    </row>
    <row r="61" spans="1:41" hidden="1" x14ac:dyDescent="0.25">
      <c r="A61" s="11" t="s">
        <v>31</v>
      </c>
      <c r="B61" s="31" t="s">
        <v>131</v>
      </c>
      <c r="C61" s="20" t="s">
        <v>132</v>
      </c>
      <c r="D61" s="11"/>
      <c r="E61" s="11"/>
      <c r="F61" s="39">
        <f>'March 2026'!AL61</f>
        <v>112</v>
      </c>
      <c r="G61" s="33"/>
      <c r="H61" s="33"/>
      <c r="I61" s="33"/>
      <c r="J61" s="33"/>
      <c r="K61" s="33"/>
      <c r="L61" s="34">
        <v>1000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8">
        <f t="shared" si="1"/>
        <v>1112</v>
      </c>
      <c r="AL61">
        <v>200</v>
      </c>
      <c r="AM61">
        <v>250</v>
      </c>
      <c r="AN61">
        <v>1000</v>
      </c>
    </row>
    <row r="62" spans="1:41" hidden="1" x14ac:dyDescent="0.25">
      <c r="A62" s="11" t="s">
        <v>211</v>
      </c>
      <c r="B62" s="31" t="s">
        <v>133</v>
      </c>
      <c r="C62" s="20" t="s">
        <v>134</v>
      </c>
      <c r="D62" s="11"/>
      <c r="E62" s="11"/>
      <c r="F62" s="39">
        <f>'March 2026'!AL62</f>
        <v>8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8">
        <f t="shared" si="1"/>
        <v>8</v>
      </c>
      <c r="AL62">
        <v>200</v>
      </c>
      <c r="AM62">
        <v>250</v>
      </c>
      <c r="AN62">
        <v>1000</v>
      </c>
    </row>
    <row r="63" spans="1:41" hidden="1" x14ac:dyDescent="0.25">
      <c r="A63" s="11"/>
      <c r="B63" s="31" t="s">
        <v>135</v>
      </c>
      <c r="C63" s="20" t="s">
        <v>136</v>
      </c>
      <c r="D63" s="11"/>
      <c r="E63" s="11"/>
      <c r="F63" s="39">
        <f>'March 2026'!AL63</f>
        <v>0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8">
        <f t="shared" si="1"/>
        <v>0</v>
      </c>
      <c r="AL63">
        <v>200</v>
      </c>
      <c r="AM63">
        <v>250</v>
      </c>
      <c r="AN63">
        <v>1000</v>
      </c>
    </row>
    <row r="64" spans="1:41" hidden="1" x14ac:dyDescent="0.25">
      <c r="A64" s="11"/>
      <c r="B64" s="31" t="s">
        <v>137</v>
      </c>
      <c r="C64" s="20" t="s">
        <v>138</v>
      </c>
      <c r="D64" s="11"/>
      <c r="E64" s="11"/>
      <c r="F64" s="39">
        <f>'March 2026'!AL64</f>
        <v>18</v>
      </c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8">
        <f t="shared" si="1"/>
        <v>18</v>
      </c>
      <c r="AL64">
        <v>100</v>
      </c>
      <c r="AM64">
        <v>150</v>
      </c>
      <c r="AN64">
        <v>500</v>
      </c>
    </row>
    <row r="65" spans="1:41" hidden="1" x14ac:dyDescent="0.25">
      <c r="A65" s="11" t="s">
        <v>31</v>
      </c>
      <c r="B65" s="31" t="s">
        <v>139</v>
      </c>
      <c r="C65" s="20" t="s">
        <v>140</v>
      </c>
      <c r="D65" s="11"/>
      <c r="E65" s="11"/>
      <c r="F65" s="39">
        <f>'March 2026'!AL65</f>
        <v>550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8">
        <f t="shared" si="1"/>
        <v>550</v>
      </c>
      <c r="AL65">
        <v>200</v>
      </c>
      <c r="AM65">
        <v>250</v>
      </c>
      <c r="AN65">
        <v>1000</v>
      </c>
    </row>
    <row r="66" spans="1:41" hidden="1" x14ac:dyDescent="0.25">
      <c r="A66" s="11" t="s">
        <v>31</v>
      </c>
      <c r="B66" s="31" t="s">
        <v>141</v>
      </c>
      <c r="C66" s="20" t="s">
        <v>142</v>
      </c>
      <c r="D66" s="11"/>
      <c r="E66" s="11"/>
      <c r="F66" s="39">
        <f>'March 2026'!AL66</f>
        <v>115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4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8">
        <f t="shared" si="1"/>
        <v>115</v>
      </c>
      <c r="AL66">
        <v>200</v>
      </c>
      <c r="AM66">
        <v>250</v>
      </c>
      <c r="AN66">
        <v>1000</v>
      </c>
    </row>
    <row r="67" spans="1:41" hidden="1" x14ac:dyDescent="0.25">
      <c r="A67" s="11" t="s">
        <v>31</v>
      </c>
      <c r="B67" s="31" t="s">
        <v>143</v>
      </c>
      <c r="C67" s="20" t="s">
        <v>144</v>
      </c>
      <c r="D67" s="11"/>
      <c r="E67" s="11"/>
      <c r="F67" s="39">
        <f>'March 2026'!AL67</f>
        <v>668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8">
        <f t="shared" si="1"/>
        <v>668</v>
      </c>
      <c r="AL67">
        <v>200</v>
      </c>
      <c r="AM67">
        <v>250</v>
      </c>
      <c r="AN67">
        <v>1000</v>
      </c>
    </row>
    <row r="68" spans="1:41" hidden="1" x14ac:dyDescent="0.25">
      <c r="A68" s="11" t="s">
        <v>31</v>
      </c>
      <c r="B68" s="31" t="s">
        <v>145</v>
      </c>
      <c r="C68" s="20" t="s">
        <v>146</v>
      </c>
      <c r="D68" s="11"/>
      <c r="E68" s="11"/>
      <c r="F68" s="39">
        <f>'March 2026'!AL68</f>
        <v>283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8">
        <f t="shared" si="1"/>
        <v>283</v>
      </c>
      <c r="AL68">
        <v>200</v>
      </c>
      <c r="AM68">
        <v>250</v>
      </c>
      <c r="AN68">
        <v>1000</v>
      </c>
    </row>
    <row r="69" spans="1:41" hidden="1" x14ac:dyDescent="0.25">
      <c r="A69" s="11" t="s">
        <v>31</v>
      </c>
      <c r="B69" s="31" t="s">
        <v>147</v>
      </c>
      <c r="C69" s="20" t="s">
        <v>148</v>
      </c>
      <c r="D69" s="11"/>
      <c r="E69" s="11"/>
      <c r="F69" s="39">
        <f>'March 2026'!AL69</f>
        <v>307</v>
      </c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8">
        <f t="shared" si="1"/>
        <v>307</v>
      </c>
      <c r="AL69">
        <v>200</v>
      </c>
      <c r="AM69">
        <v>250</v>
      </c>
      <c r="AN69">
        <v>1000</v>
      </c>
    </row>
    <row r="70" spans="1:41" hidden="1" x14ac:dyDescent="0.25">
      <c r="A70" s="11" t="s">
        <v>31</v>
      </c>
      <c r="B70" s="31" t="s">
        <v>149</v>
      </c>
      <c r="C70" s="20" t="s">
        <v>150</v>
      </c>
      <c r="D70" s="11"/>
      <c r="E70" s="11"/>
      <c r="F70" s="39">
        <f>'March 2026'!AL70</f>
        <v>1047</v>
      </c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8">
        <f t="shared" si="1"/>
        <v>1047</v>
      </c>
      <c r="AO70" t="s">
        <v>216</v>
      </c>
    </row>
    <row r="71" spans="1:41" x14ac:dyDescent="0.25">
      <c r="A71" s="11" t="s">
        <v>211</v>
      </c>
      <c r="B71" s="31" t="s">
        <v>151</v>
      </c>
      <c r="C71" s="20" t="s">
        <v>152</v>
      </c>
      <c r="D71" s="11"/>
      <c r="E71" s="11"/>
      <c r="F71" s="39">
        <f>'March 2026'!AL71</f>
        <v>760</v>
      </c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8">
        <f t="shared" si="1"/>
        <v>760</v>
      </c>
      <c r="AL71">
        <v>50</v>
      </c>
      <c r="AM71">
        <v>100</v>
      </c>
      <c r="AN71">
        <v>150</v>
      </c>
    </row>
    <row r="72" spans="1:41" x14ac:dyDescent="0.25">
      <c r="A72" s="11" t="s">
        <v>211</v>
      </c>
      <c r="B72" s="31" t="s">
        <v>153</v>
      </c>
      <c r="C72" s="20" t="s">
        <v>154</v>
      </c>
      <c r="D72" s="11"/>
      <c r="E72" s="11"/>
      <c r="F72" s="39">
        <f>'March 2026'!AL72</f>
        <v>1196</v>
      </c>
      <c r="G72" s="33">
        <v>-27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8">
        <f t="shared" si="1"/>
        <v>1169</v>
      </c>
      <c r="AL72">
        <v>50</v>
      </c>
      <c r="AM72">
        <v>100</v>
      </c>
      <c r="AN72">
        <v>150</v>
      </c>
    </row>
    <row r="73" spans="1:41" x14ac:dyDescent="0.25">
      <c r="A73" s="11" t="s">
        <v>211</v>
      </c>
      <c r="B73" s="31" t="s">
        <v>155</v>
      </c>
      <c r="C73" s="20" t="s">
        <v>156</v>
      </c>
      <c r="D73" s="11"/>
      <c r="E73" s="11"/>
      <c r="F73" s="39">
        <f>'March 2026'!AL73</f>
        <v>667</v>
      </c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8">
        <f t="shared" si="1"/>
        <v>667</v>
      </c>
      <c r="AL73">
        <v>50</v>
      </c>
      <c r="AM73">
        <v>100</v>
      </c>
      <c r="AN73">
        <v>150</v>
      </c>
    </row>
    <row r="74" spans="1:41" x14ac:dyDescent="0.25">
      <c r="A74" s="11" t="s">
        <v>211</v>
      </c>
      <c r="B74" s="31" t="s">
        <v>157</v>
      </c>
      <c r="C74" s="20" t="s">
        <v>158</v>
      </c>
      <c r="D74" s="11"/>
      <c r="E74" s="11"/>
      <c r="F74" s="39">
        <f>'March 2026'!AL74</f>
        <v>283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8">
        <f t="shared" si="1"/>
        <v>283</v>
      </c>
      <c r="AL74">
        <v>50</v>
      </c>
      <c r="AM74">
        <v>100</v>
      </c>
      <c r="AN74">
        <v>150</v>
      </c>
    </row>
    <row r="75" spans="1:41" x14ac:dyDescent="0.25">
      <c r="A75" s="11"/>
      <c r="B75" s="31" t="s">
        <v>159</v>
      </c>
      <c r="C75" s="20" t="s">
        <v>160</v>
      </c>
      <c r="D75" s="11"/>
      <c r="E75" s="11"/>
      <c r="F75" s="39">
        <f>'March 2026'!AL75</f>
        <v>100</v>
      </c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8">
        <f t="shared" ref="AK75:AK101" si="2">F75+SUM(G75:AJ75)</f>
        <v>100</v>
      </c>
      <c r="AL75">
        <v>50</v>
      </c>
      <c r="AM75">
        <v>100</v>
      </c>
      <c r="AN75">
        <v>150</v>
      </c>
    </row>
    <row r="76" spans="1:41" x14ac:dyDescent="0.25">
      <c r="A76" s="11" t="s">
        <v>211</v>
      </c>
      <c r="B76" s="31" t="s">
        <v>161</v>
      </c>
      <c r="C76" s="20" t="s">
        <v>162</v>
      </c>
      <c r="D76" s="11"/>
      <c r="E76" s="11"/>
      <c r="F76" s="39">
        <f>'March 2026'!AL76</f>
        <v>164</v>
      </c>
      <c r="G76" s="33">
        <v>-54</v>
      </c>
      <c r="H76" s="33"/>
      <c r="I76" s="33"/>
      <c r="J76" s="33"/>
      <c r="K76" s="33"/>
      <c r="L76" s="34">
        <v>100</v>
      </c>
      <c r="M76" s="33"/>
      <c r="N76" s="33">
        <v>-50</v>
      </c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8">
        <f t="shared" si="2"/>
        <v>160</v>
      </c>
      <c r="AL76">
        <v>50</v>
      </c>
      <c r="AM76">
        <v>100</v>
      </c>
      <c r="AN76">
        <v>150</v>
      </c>
    </row>
    <row r="77" spans="1:41" x14ac:dyDescent="0.25">
      <c r="A77" s="11" t="s">
        <v>211</v>
      </c>
      <c r="B77" s="31" t="s">
        <v>163</v>
      </c>
      <c r="C77" s="20" t="s">
        <v>164</v>
      </c>
      <c r="D77" s="11"/>
      <c r="E77" s="11"/>
      <c r="F77" s="39">
        <f>'March 2026'!AL77</f>
        <v>289</v>
      </c>
      <c r="G77" s="33"/>
      <c r="H77" s="33"/>
      <c r="I77" s="33">
        <f>-25+-23</f>
        <v>-48</v>
      </c>
      <c r="J77" s="33"/>
      <c r="K77" s="33"/>
      <c r="L77" s="33"/>
      <c r="M77" s="33">
        <v>-2</v>
      </c>
      <c r="N77" s="33">
        <f>-79+-40</f>
        <v>-119</v>
      </c>
      <c r="O77" s="33"/>
      <c r="P77" s="33"/>
      <c r="Q77" s="33"/>
      <c r="R77" s="40">
        <v>1225</v>
      </c>
      <c r="S77" s="33">
        <v>-93</v>
      </c>
      <c r="T77" s="33"/>
      <c r="U77" s="33">
        <f>-30+-30</f>
        <v>-60</v>
      </c>
      <c r="V77" s="40">
        <v>750</v>
      </c>
      <c r="W77" s="33">
        <v>-44</v>
      </c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8">
        <f t="shared" si="2"/>
        <v>1898</v>
      </c>
      <c r="AL77">
        <v>200</v>
      </c>
      <c r="AM77">
        <v>250</v>
      </c>
      <c r="AN77">
        <v>1000</v>
      </c>
    </row>
    <row r="78" spans="1:41" x14ac:dyDescent="0.25">
      <c r="A78" s="11" t="s">
        <v>211</v>
      </c>
      <c r="B78" s="31" t="s">
        <v>165</v>
      </c>
      <c r="C78" s="20" t="s">
        <v>166</v>
      </c>
      <c r="D78" s="11"/>
      <c r="E78" s="11"/>
      <c r="F78" s="39">
        <f>'March 2026'!AL78</f>
        <v>777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8">
        <f t="shared" si="2"/>
        <v>777</v>
      </c>
      <c r="AL78">
        <v>200</v>
      </c>
      <c r="AM78">
        <v>250</v>
      </c>
      <c r="AN78">
        <v>1000</v>
      </c>
    </row>
    <row r="79" spans="1:41" x14ac:dyDescent="0.25">
      <c r="A79" s="11" t="s">
        <v>211</v>
      </c>
      <c r="B79" s="31" t="s">
        <v>167</v>
      </c>
      <c r="C79" s="20" t="s">
        <v>168</v>
      </c>
      <c r="D79" s="11"/>
      <c r="E79" s="11"/>
      <c r="F79" s="39">
        <f>'March 2026'!AL79</f>
        <v>16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8">
        <f t="shared" si="2"/>
        <v>16</v>
      </c>
      <c r="AO79" t="s">
        <v>216</v>
      </c>
    </row>
    <row r="80" spans="1:41" hidden="1" x14ac:dyDescent="0.25">
      <c r="A80" s="11" t="s">
        <v>210</v>
      </c>
      <c r="B80" s="31" t="s">
        <v>169</v>
      </c>
      <c r="C80" s="20" t="s">
        <v>170</v>
      </c>
      <c r="D80" s="11"/>
      <c r="E80" s="11"/>
      <c r="F80" s="39">
        <f>'March 2026'!AL80</f>
        <v>486</v>
      </c>
      <c r="G80" s="33"/>
      <c r="H80" s="33"/>
      <c r="I80" s="33"/>
      <c r="J80" s="33"/>
      <c r="K80" s="33"/>
      <c r="L80" s="33"/>
      <c r="M80" s="33"/>
      <c r="N80" s="33">
        <v>-80</v>
      </c>
      <c r="O80" s="33"/>
      <c r="P80" s="33"/>
      <c r="Q80" s="33"/>
      <c r="R80" s="33"/>
      <c r="S80" s="40">
        <v>500</v>
      </c>
      <c r="T80" s="33"/>
      <c r="U80" s="33">
        <v>-30</v>
      </c>
      <c r="V80" s="33">
        <v>-30</v>
      </c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8">
        <f t="shared" si="2"/>
        <v>846</v>
      </c>
      <c r="AL80">
        <v>200</v>
      </c>
      <c r="AM80">
        <v>250</v>
      </c>
      <c r="AN80">
        <v>1000</v>
      </c>
    </row>
    <row r="81" spans="1:41" hidden="1" x14ac:dyDescent="0.25">
      <c r="A81" s="11" t="s">
        <v>210</v>
      </c>
      <c r="B81" s="31" t="s">
        <v>171</v>
      </c>
      <c r="C81" s="20" t="s">
        <v>172</v>
      </c>
      <c r="D81" s="11"/>
      <c r="E81" s="11"/>
      <c r="F81" s="39">
        <f>'March 2026'!AL81</f>
        <v>332</v>
      </c>
      <c r="G81" s="33">
        <v>-27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8">
        <f t="shared" si="2"/>
        <v>305</v>
      </c>
      <c r="AL81">
        <v>50</v>
      </c>
      <c r="AM81">
        <v>100</v>
      </c>
      <c r="AN81">
        <v>150</v>
      </c>
    </row>
    <row r="82" spans="1:41" hidden="1" x14ac:dyDescent="0.25">
      <c r="A82" s="11"/>
      <c r="B82" s="31" t="s">
        <v>173</v>
      </c>
      <c r="C82" s="20" t="s">
        <v>174</v>
      </c>
      <c r="D82" s="11"/>
      <c r="E82" s="11"/>
      <c r="F82" s="39">
        <f>'March 2026'!AL82</f>
        <v>0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8">
        <f t="shared" si="2"/>
        <v>0</v>
      </c>
      <c r="AL82">
        <v>50</v>
      </c>
      <c r="AM82">
        <v>100</v>
      </c>
      <c r="AN82">
        <v>150</v>
      </c>
    </row>
    <row r="83" spans="1:41" hidden="1" x14ac:dyDescent="0.25">
      <c r="A83" s="11" t="s">
        <v>210</v>
      </c>
      <c r="B83" s="31" t="s">
        <v>175</v>
      </c>
      <c r="C83" s="20" t="s">
        <v>176</v>
      </c>
      <c r="D83" s="11"/>
      <c r="E83" s="11"/>
      <c r="F83" s="39">
        <f>'March 2026'!AL83</f>
        <v>269</v>
      </c>
      <c r="G83" s="33">
        <v>-27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8">
        <f t="shared" si="2"/>
        <v>242</v>
      </c>
      <c r="AL83">
        <v>50</v>
      </c>
      <c r="AM83">
        <v>100</v>
      </c>
      <c r="AN83">
        <v>150</v>
      </c>
    </row>
    <row r="84" spans="1:41" hidden="1" x14ac:dyDescent="0.25">
      <c r="A84" s="11" t="s">
        <v>210</v>
      </c>
      <c r="B84" s="31" t="s">
        <v>177</v>
      </c>
      <c r="C84" s="20" t="s">
        <v>178</v>
      </c>
      <c r="D84" s="11"/>
      <c r="E84" s="11"/>
      <c r="F84" s="39">
        <f>'March 2026'!AL84</f>
        <v>66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8">
        <f t="shared" si="2"/>
        <v>66</v>
      </c>
      <c r="AL84">
        <v>50</v>
      </c>
      <c r="AM84">
        <v>100</v>
      </c>
      <c r="AN84">
        <v>150</v>
      </c>
    </row>
    <row r="85" spans="1:41" hidden="1" x14ac:dyDescent="0.25">
      <c r="A85" s="11"/>
      <c r="B85" s="31" t="s">
        <v>179</v>
      </c>
      <c r="C85" s="20" t="s">
        <v>180</v>
      </c>
      <c r="D85" s="11"/>
      <c r="E85" s="11"/>
      <c r="F85" s="39">
        <f>'March 2026'!AL85</f>
        <v>0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8">
        <f t="shared" si="2"/>
        <v>0</v>
      </c>
      <c r="AL85">
        <v>50</v>
      </c>
      <c r="AM85">
        <v>100</v>
      </c>
      <c r="AN85">
        <v>150</v>
      </c>
    </row>
    <row r="86" spans="1:41" hidden="1" x14ac:dyDescent="0.25">
      <c r="A86" s="11" t="s">
        <v>210</v>
      </c>
      <c r="B86" s="31" t="s">
        <v>181</v>
      </c>
      <c r="C86" s="20" t="s">
        <v>182</v>
      </c>
      <c r="D86" s="11"/>
      <c r="E86" s="11"/>
      <c r="F86" s="39">
        <f>'March 2026'!AL86</f>
        <v>127</v>
      </c>
      <c r="G86" s="33">
        <v>-27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8">
        <f t="shared" si="2"/>
        <v>100</v>
      </c>
      <c r="AL86">
        <v>50</v>
      </c>
      <c r="AM86">
        <v>100</v>
      </c>
      <c r="AN86">
        <v>150</v>
      </c>
    </row>
    <row r="87" spans="1:41" hidden="1" x14ac:dyDescent="0.25">
      <c r="A87" s="11"/>
      <c r="B87" s="31" t="s">
        <v>183</v>
      </c>
      <c r="C87" s="20" t="s">
        <v>184</v>
      </c>
      <c r="D87" s="11"/>
      <c r="E87" s="11"/>
      <c r="F87" s="39">
        <f>'March 2026'!AL87</f>
        <v>0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8">
        <f t="shared" si="2"/>
        <v>0</v>
      </c>
      <c r="AO87" t="s">
        <v>216</v>
      </c>
    </row>
    <row r="88" spans="1:41" hidden="1" x14ac:dyDescent="0.25">
      <c r="A88" s="11" t="s">
        <v>210</v>
      </c>
      <c r="B88" s="31" t="s">
        <v>177</v>
      </c>
      <c r="C88" s="20" t="s">
        <v>185</v>
      </c>
      <c r="D88" s="11"/>
      <c r="E88" s="11"/>
      <c r="F88" s="39">
        <f>'March 2026'!AL88</f>
        <v>20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8">
        <f t="shared" si="2"/>
        <v>20</v>
      </c>
      <c r="AO88" t="s">
        <v>216</v>
      </c>
    </row>
    <row r="89" spans="1:41" hidden="1" x14ac:dyDescent="0.25">
      <c r="A89" s="11"/>
      <c r="B89" s="31" t="s">
        <v>186</v>
      </c>
      <c r="C89" s="20" t="s">
        <v>187</v>
      </c>
      <c r="D89" s="11"/>
      <c r="E89" s="11"/>
      <c r="F89" s="39">
        <f>'March 2026'!AL89</f>
        <v>0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8">
        <f t="shared" si="2"/>
        <v>0</v>
      </c>
      <c r="AO89" t="s">
        <v>216</v>
      </c>
    </row>
    <row r="90" spans="1:41" hidden="1" x14ac:dyDescent="0.25">
      <c r="A90" s="11"/>
      <c r="B90" s="32" t="s">
        <v>188</v>
      </c>
      <c r="C90" s="30" t="s">
        <v>189</v>
      </c>
      <c r="D90" s="11"/>
      <c r="E90" s="11"/>
      <c r="F90" s="39">
        <f>'March 2026'!AL90</f>
        <v>0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8">
        <f t="shared" si="2"/>
        <v>0</v>
      </c>
      <c r="AO90" t="s">
        <v>216</v>
      </c>
    </row>
    <row r="91" spans="1:41" hidden="1" x14ac:dyDescent="0.25">
      <c r="A91" s="11" t="s">
        <v>212</v>
      </c>
      <c r="B91" s="31" t="s">
        <v>190</v>
      </c>
      <c r="C91" s="20" t="s">
        <v>191</v>
      </c>
      <c r="D91" s="11"/>
      <c r="E91" s="11"/>
      <c r="F91" s="39">
        <f>'March 2026'!AL91</f>
        <v>264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8">
        <f t="shared" si="2"/>
        <v>264</v>
      </c>
      <c r="AL91">
        <v>100</v>
      </c>
      <c r="AM91">
        <v>150</v>
      </c>
      <c r="AN91">
        <v>500</v>
      </c>
    </row>
    <row r="92" spans="1:41" hidden="1" x14ac:dyDescent="0.25">
      <c r="A92" s="11" t="s">
        <v>212</v>
      </c>
      <c r="B92" s="31" t="s">
        <v>192</v>
      </c>
      <c r="C92" s="20" t="s">
        <v>193</v>
      </c>
      <c r="D92" s="11"/>
      <c r="E92" s="11"/>
      <c r="F92" s="39">
        <f>'March 2026'!AL92</f>
        <v>210</v>
      </c>
      <c r="G92" s="33"/>
      <c r="H92" s="33"/>
      <c r="I92" s="33"/>
      <c r="J92" s="33"/>
      <c r="K92" s="33"/>
      <c r="L92" s="33">
        <v>-9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8">
        <f t="shared" si="2"/>
        <v>201</v>
      </c>
      <c r="AL92">
        <v>100</v>
      </c>
      <c r="AM92">
        <v>150</v>
      </c>
      <c r="AN92">
        <v>500</v>
      </c>
    </row>
    <row r="93" spans="1:41" hidden="1" x14ac:dyDescent="0.25">
      <c r="A93" s="11" t="s">
        <v>212</v>
      </c>
      <c r="B93" s="31" t="s">
        <v>194</v>
      </c>
      <c r="C93" s="20" t="s">
        <v>195</v>
      </c>
      <c r="D93" s="11"/>
      <c r="E93" s="11"/>
      <c r="F93" s="39">
        <f>'March 2026'!AL93</f>
        <v>282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8">
        <f t="shared" si="2"/>
        <v>282</v>
      </c>
      <c r="AL93">
        <v>100</v>
      </c>
      <c r="AM93">
        <v>150</v>
      </c>
      <c r="AN93">
        <v>500</v>
      </c>
    </row>
    <row r="94" spans="1:41" hidden="1" x14ac:dyDescent="0.25">
      <c r="A94" s="11" t="s">
        <v>211</v>
      </c>
      <c r="B94" s="31" t="s">
        <v>196</v>
      </c>
      <c r="C94" s="20" t="s">
        <v>197</v>
      </c>
      <c r="D94" s="11"/>
      <c r="E94" s="11"/>
      <c r="F94" s="39">
        <f>'March 2026'!AL94</f>
        <v>69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8">
        <f t="shared" si="2"/>
        <v>69</v>
      </c>
      <c r="AO94" t="s">
        <v>216</v>
      </c>
    </row>
    <row r="95" spans="1:41" hidden="1" x14ac:dyDescent="0.25">
      <c r="A95" s="11" t="s">
        <v>213</v>
      </c>
      <c r="C95" s="20" t="s">
        <v>198</v>
      </c>
      <c r="D95" s="11"/>
      <c r="E95" s="11"/>
      <c r="F95" s="39">
        <f>'March 2026'!AL95</f>
        <v>0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8">
        <f t="shared" si="2"/>
        <v>0</v>
      </c>
      <c r="AO95" t="s">
        <v>216</v>
      </c>
    </row>
    <row r="96" spans="1:41" hidden="1" x14ac:dyDescent="0.25">
      <c r="A96" s="11" t="s">
        <v>212</v>
      </c>
      <c r="B96" s="31" t="s">
        <v>199</v>
      </c>
      <c r="C96" s="20" t="s">
        <v>200</v>
      </c>
      <c r="D96" s="11"/>
      <c r="E96" s="11"/>
      <c r="F96" s="39">
        <f>'March 2026'!AL96</f>
        <v>295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8">
        <f t="shared" si="2"/>
        <v>295</v>
      </c>
      <c r="AL96">
        <v>100</v>
      </c>
      <c r="AM96">
        <v>150</v>
      </c>
      <c r="AN96">
        <v>500</v>
      </c>
    </row>
    <row r="97" spans="1:41" hidden="1" x14ac:dyDescent="0.25">
      <c r="A97" s="11" t="s">
        <v>212</v>
      </c>
      <c r="B97" s="31" t="s">
        <v>201</v>
      </c>
      <c r="C97" s="20" t="s">
        <v>202</v>
      </c>
      <c r="D97" s="11"/>
      <c r="E97" s="11"/>
      <c r="F97" s="39">
        <f>'March 2026'!AL97</f>
        <v>61</v>
      </c>
      <c r="G97" s="33"/>
      <c r="H97" s="33"/>
      <c r="I97" s="33"/>
      <c r="J97" s="33"/>
      <c r="K97" s="33"/>
      <c r="L97" s="33">
        <v>-9</v>
      </c>
      <c r="M97" s="34"/>
      <c r="N97" s="33"/>
      <c r="O97" s="33"/>
      <c r="P97" s="33"/>
      <c r="Q97" s="33"/>
      <c r="R97" s="34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8">
        <f t="shared" si="2"/>
        <v>52</v>
      </c>
      <c r="AL97">
        <v>100</v>
      </c>
      <c r="AM97">
        <v>150</v>
      </c>
      <c r="AN97">
        <v>500</v>
      </c>
    </row>
    <row r="98" spans="1:41" hidden="1" x14ac:dyDescent="0.25">
      <c r="A98" s="11" t="s">
        <v>212</v>
      </c>
      <c r="C98" s="20" t="s">
        <v>203</v>
      </c>
      <c r="D98" s="11"/>
      <c r="E98" s="11"/>
      <c r="F98" s="39">
        <f>'March 2026'!AL98</f>
        <v>0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8">
        <f t="shared" si="2"/>
        <v>0</v>
      </c>
      <c r="AO98" t="s">
        <v>218</v>
      </c>
    </row>
    <row r="99" spans="1:41" hidden="1" x14ac:dyDescent="0.25">
      <c r="A99" s="11" t="s">
        <v>211</v>
      </c>
      <c r="B99" s="31" t="s">
        <v>204</v>
      </c>
      <c r="C99" s="20" t="s">
        <v>205</v>
      </c>
      <c r="D99" s="11"/>
      <c r="E99" s="11"/>
      <c r="F99" s="39">
        <f>'March 2026'!AL99</f>
        <v>47</v>
      </c>
      <c r="G99" s="33"/>
      <c r="H99" s="33"/>
      <c r="I99" s="33"/>
      <c r="J99" s="33"/>
      <c r="K99" s="33"/>
      <c r="L99" s="33"/>
      <c r="M99" s="33">
        <v>-2</v>
      </c>
      <c r="N99" s="33"/>
      <c r="O99" s="33"/>
      <c r="P99" s="33"/>
      <c r="Q99" s="33"/>
      <c r="R99" s="33"/>
      <c r="S99" s="33">
        <v>-12</v>
      </c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8">
        <f t="shared" si="2"/>
        <v>33</v>
      </c>
      <c r="AL99">
        <v>10</v>
      </c>
      <c r="AM99">
        <v>15</v>
      </c>
      <c r="AN99">
        <v>25</v>
      </c>
    </row>
    <row r="100" spans="1:41" hidden="1" x14ac:dyDescent="0.25">
      <c r="A100" s="11" t="s">
        <v>211</v>
      </c>
      <c r="B100" s="31" t="s">
        <v>206</v>
      </c>
      <c r="C100" s="20" t="s">
        <v>207</v>
      </c>
      <c r="D100" s="11"/>
      <c r="E100" s="11"/>
      <c r="F100" s="39">
        <f>'March 2026'!AL100</f>
        <v>454</v>
      </c>
      <c r="G100" s="33"/>
      <c r="H100" s="33"/>
      <c r="I100" s="33">
        <f>-25+-23</f>
        <v>-48</v>
      </c>
      <c r="J100" s="33"/>
      <c r="K100" s="33"/>
      <c r="L100" s="33"/>
      <c r="M100" s="33">
        <v>-2</v>
      </c>
      <c r="N100" s="33">
        <f>-79+-40</f>
        <v>-119</v>
      </c>
      <c r="O100" s="33"/>
      <c r="P100" s="33"/>
      <c r="Q100" s="33"/>
      <c r="R100" s="40">
        <v>1500</v>
      </c>
      <c r="S100" s="33">
        <v>-93</v>
      </c>
      <c r="T100" s="33"/>
      <c r="U100" s="33">
        <f>-30+-30</f>
        <v>-60</v>
      </c>
      <c r="V100" s="33"/>
      <c r="W100" s="33">
        <v>-44</v>
      </c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8">
        <f t="shared" si="2"/>
        <v>1588</v>
      </c>
      <c r="AL100">
        <v>200</v>
      </c>
      <c r="AM100">
        <v>250</v>
      </c>
      <c r="AN100">
        <v>500</v>
      </c>
    </row>
    <row r="101" spans="1:41" hidden="1" x14ac:dyDescent="0.25">
      <c r="A101" s="11" t="s">
        <v>211</v>
      </c>
      <c r="B101" s="31" t="s">
        <v>208</v>
      </c>
      <c r="C101" s="20" t="s">
        <v>209</v>
      </c>
      <c r="D101" s="11"/>
      <c r="E101" s="11"/>
      <c r="F101" s="39">
        <f>'March 2026'!AL101</f>
        <v>64</v>
      </c>
      <c r="G101" s="11"/>
      <c r="H101" s="11"/>
      <c r="I101" s="11"/>
      <c r="J101" s="11"/>
      <c r="K101" s="11"/>
      <c r="L101" s="11">
        <v>-9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38">
        <f t="shared" si="2"/>
        <v>55</v>
      </c>
      <c r="AL101">
        <v>50</v>
      </c>
      <c r="AM101">
        <v>100</v>
      </c>
      <c r="AN101">
        <v>200</v>
      </c>
    </row>
    <row r="102" spans="1:41" x14ac:dyDescent="0.25">
      <c r="A102" s="11"/>
      <c r="B102" s="20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25"/>
    </row>
    <row r="103" spans="1:41" x14ac:dyDescent="0.25">
      <c r="A103" s="11"/>
      <c r="B103" s="20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25"/>
    </row>
    <row r="104" spans="1:41" x14ac:dyDescent="0.25">
      <c r="A104" s="11"/>
      <c r="B104" s="20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25"/>
    </row>
    <row r="105" spans="1:41" x14ac:dyDescent="0.25">
      <c r="A105" s="11"/>
      <c r="B105" s="20"/>
      <c r="C105" s="2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25"/>
    </row>
    <row r="106" spans="1:41" x14ac:dyDescent="0.25">
      <c r="A106" s="11"/>
      <c r="B106" s="20"/>
      <c r="C106" s="2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25"/>
    </row>
    <row r="107" spans="1:41" x14ac:dyDescent="0.25">
      <c r="A107" s="11"/>
      <c r="B107" s="20"/>
      <c r="C107" s="2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25"/>
    </row>
    <row r="108" spans="1:41" x14ac:dyDescent="0.25">
      <c r="A108" s="11"/>
      <c r="B108" s="20"/>
      <c r="C108" s="2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25"/>
    </row>
    <row r="109" spans="1:41" x14ac:dyDescent="0.25">
      <c r="A109" s="11"/>
      <c r="B109" s="20"/>
      <c r="C109" s="2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25"/>
    </row>
    <row r="110" spans="1:41" ht="15.75" thickBot="1" x14ac:dyDescent="0.3">
      <c r="A110" s="1"/>
      <c r="B110" s="2"/>
      <c r="C110" s="2"/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1"/>
      <c r="AL110" s="1"/>
      <c r="AM110" s="1"/>
      <c r="AN110" s="1"/>
      <c r="AO110" s="1"/>
    </row>
    <row r="111" spans="1:41" ht="32.25" thickBot="1" x14ac:dyDescent="0.3">
      <c r="A111" s="1"/>
      <c r="B111" s="6" t="s">
        <v>21</v>
      </c>
      <c r="C111" s="18"/>
      <c r="D111" s="19"/>
      <c r="E111" s="9" t="s">
        <v>22</v>
      </c>
      <c r="F111" s="22" t="s">
        <v>23</v>
      </c>
      <c r="G111" s="26" t="s">
        <v>24</v>
      </c>
      <c r="H111" s="2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6.5" thickBot="1" x14ac:dyDescent="0.3">
      <c r="A112" s="1"/>
      <c r="B112" s="7" t="s">
        <v>25</v>
      </c>
      <c r="C112" s="19"/>
      <c r="D112" s="19"/>
      <c r="E112" s="8"/>
      <c r="F112" s="21"/>
      <c r="G112" s="41"/>
      <c r="H112" s="4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6.5" thickBot="1" x14ac:dyDescent="0.3">
      <c r="A113" s="1"/>
      <c r="B113" s="7" t="s">
        <v>26</v>
      </c>
      <c r="C113" s="19"/>
      <c r="D113" s="19"/>
      <c r="E113" s="9"/>
      <c r="F113" s="22"/>
      <c r="G113" s="43"/>
      <c r="H113" s="4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6.5" thickBot="1" x14ac:dyDescent="0.3">
      <c r="A114" s="1"/>
      <c r="B114" s="7" t="s">
        <v>27</v>
      </c>
      <c r="C114" s="19"/>
      <c r="D114" s="19"/>
      <c r="E114" s="10"/>
      <c r="F114" s="23"/>
      <c r="G114" s="45"/>
      <c r="H114" s="4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x14ac:dyDescent="0.25">
      <c r="A115" s="1"/>
      <c r="B115" s="47" t="s">
        <v>28</v>
      </c>
      <c r="C115" s="16"/>
      <c r="D115" s="16"/>
      <c r="E115" s="50"/>
      <c r="F115" s="53"/>
      <c r="G115" s="56"/>
      <c r="H115" s="5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x14ac:dyDescent="0.25">
      <c r="A116" s="1"/>
      <c r="B116" s="48"/>
      <c r="C116" s="17"/>
      <c r="D116" s="17"/>
      <c r="E116" s="51"/>
      <c r="F116" s="54"/>
      <c r="G116" s="56"/>
      <c r="H116" s="5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6.5" thickBot="1" x14ac:dyDescent="0.3">
      <c r="A117" s="1"/>
      <c r="B117" s="49"/>
      <c r="C117" s="7"/>
      <c r="D117" s="7"/>
      <c r="E117" s="52"/>
      <c r="F117" s="55"/>
      <c r="G117" s="58"/>
      <c r="H117" s="5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x14ac:dyDescent="0.25">
      <c r="A118" s="1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x14ac:dyDescent="0.25">
      <c r="A119" s="1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x14ac:dyDescent="0.25">
      <c r="A120" s="1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x14ac:dyDescent="0.25">
      <c r="A121" s="1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x14ac:dyDescent="0.25">
      <c r="A122" s="1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x14ac:dyDescent="0.25">
      <c r="A123" s="1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25">
      <c r="A124" s="1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x14ac:dyDescent="0.25">
      <c r="A125" s="1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x14ac:dyDescent="0.25">
      <c r="A126" s="1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x14ac:dyDescent="0.25">
      <c r="A127" s="1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x14ac:dyDescent="0.25">
      <c r="A128" s="1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x14ac:dyDescent="0.25">
      <c r="A129" s="1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x14ac:dyDescent="0.25">
      <c r="A130" s="1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25">
      <c r="A131" s="1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2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2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2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2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2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2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2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2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2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2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2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2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2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2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2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2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2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2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2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2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</sheetData>
  <autoFilter ref="A10:AO101" xr:uid="{C34A38AE-1229-4F6E-9831-01C7A800F650}">
    <filterColumn colId="2">
      <filters>
        <filter val="Diode - 1N4007  TH"/>
        <filter val="Diode - 1N4007 SMD"/>
        <filter val="Diode - 1N4148 SMD - Zener"/>
        <filter val="Diode - 1N4689 - Zener - 5.1V"/>
        <filter val="Diode - 1N4690 SOD80 - Zener - 5.6V"/>
        <filter val="Diode - 1N4691 SMD - Zener - 6.2V"/>
        <filter val="Diode - 1N5819 SMD"/>
        <filter val="Diode - SMBJ7.0A SMD"/>
        <filter val="Diode - SS34 SMD"/>
      </filters>
    </filterColumn>
  </autoFilter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112:H112"/>
    <mergeCell ref="G113:H113"/>
    <mergeCell ref="G114:H114"/>
    <mergeCell ref="B115:B117"/>
    <mergeCell ref="E115:E117"/>
    <mergeCell ref="F115:F117"/>
    <mergeCell ref="G115:H117"/>
  </mergeCells>
  <conditionalFormatting sqref="AK11:AK109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Jan 2026</vt:lpstr>
      <vt:lpstr>Feb 2026</vt:lpstr>
      <vt:lpstr>March 2026</vt:lpstr>
      <vt:lpstr>April 2026</vt:lpstr>
      <vt:lpstr>'Jan 2026'!_Hlk122640495</vt:lpstr>
      <vt:lpstr>'March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2026-04-20T10:32:18Z</dcterms:modified>
  <cp:category/>
  <cp:contentStatus/>
</cp:coreProperties>
</file>