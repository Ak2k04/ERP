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8121CC6-8D63-4A82-8C82-6B51AE0A2155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xlnm._FilterDatabase" localSheetId="3" hidden="1">'April 2026'!$A$10:$AO$97</definedName>
    <definedName name="_xlnm._FilterDatabase" localSheetId="1" hidden="1">'Feb 2026'!$A$10:$AL$112</definedName>
    <definedName name="_xlnm._FilterDatabase" localSheetId="0" hidden="1">'Jan 2026'!$A$10:$AO$96</definedName>
    <definedName name="_xlnm._FilterDatabase" localSheetId="2" hidden="1">'March 2026'!$A$10:$AO$97</definedName>
    <definedName name="_Hlk122640495" localSheetId="0">'Jan 2026'!$B$106</definedName>
    <definedName name="_Hlk126512593" localSheetId="0">'Jan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7" l="1"/>
  <c r="P18" i="7"/>
  <c r="N29" i="7"/>
  <c r="N18" i="7"/>
  <c r="N31" i="7"/>
  <c r="S18" i="7"/>
  <c r="S29" i="7"/>
  <c r="U29" i="7" l="1"/>
  <c r="W18" i="6" l="1"/>
  <c r="AG31" i="6"/>
  <c r="AD84" i="6"/>
  <c r="AF29" i="6"/>
  <c r="AF95" i="6"/>
  <c r="AF23" i="6"/>
  <c r="Q95" i="6" l="1"/>
  <c r="M29" i="6" l="1"/>
  <c r="V29" i="6" l="1"/>
  <c r="F29" i="1" l="1"/>
  <c r="AL12" i="6"/>
  <c r="F12" i="7" s="1"/>
  <c r="AK12" i="7" s="1"/>
  <c r="AL13" i="6"/>
  <c r="F13" i="7" s="1"/>
  <c r="AK13" i="7" s="1"/>
  <c r="AL14" i="6"/>
  <c r="F14" i="7" s="1"/>
  <c r="AK14" i="7" s="1"/>
  <c r="AL15" i="6"/>
  <c r="F15" i="7" s="1"/>
  <c r="AK15" i="7" s="1"/>
  <c r="AL16" i="6"/>
  <c r="F16" i="7" s="1"/>
  <c r="AK16" i="7" s="1"/>
  <c r="AL17" i="6"/>
  <c r="F17" i="7" s="1"/>
  <c r="AK17" i="7" s="1"/>
  <c r="AL18" i="6"/>
  <c r="F18" i="7" s="1"/>
  <c r="AK18" i="7" s="1"/>
  <c r="AL19" i="6"/>
  <c r="F19" i="7" s="1"/>
  <c r="AK19" i="7" s="1"/>
  <c r="AL20" i="6"/>
  <c r="F20" i="7" s="1"/>
  <c r="AK20" i="7" s="1"/>
  <c r="AL21" i="6"/>
  <c r="F21" i="7" s="1"/>
  <c r="AK21" i="7" s="1"/>
  <c r="AL22" i="6"/>
  <c r="F22" i="7" s="1"/>
  <c r="AK22" i="7" s="1"/>
  <c r="AL23" i="6"/>
  <c r="F23" i="7" s="1"/>
  <c r="AK23" i="7" s="1"/>
  <c r="AL24" i="6"/>
  <c r="F24" i="7" s="1"/>
  <c r="AK24" i="7" s="1"/>
  <c r="AL25" i="6"/>
  <c r="F25" i="7" s="1"/>
  <c r="AK25" i="7" s="1"/>
  <c r="AL26" i="6"/>
  <c r="F26" i="7" s="1"/>
  <c r="AK26" i="7" s="1"/>
  <c r="AL27" i="6"/>
  <c r="F27" i="7" s="1"/>
  <c r="AK27" i="7" s="1"/>
  <c r="AL28" i="6"/>
  <c r="F28" i="7" s="1"/>
  <c r="AK28" i="7" s="1"/>
  <c r="AL30" i="6"/>
  <c r="F30" i="7" s="1"/>
  <c r="AK30" i="7" s="1"/>
  <c r="AL31" i="6"/>
  <c r="F31" i="7" s="1"/>
  <c r="AK31" i="7" s="1"/>
  <c r="AL32" i="6"/>
  <c r="F32" i="7" s="1"/>
  <c r="AK32" i="7" s="1"/>
  <c r="AL33" i="6"/>
  <c r="F33" i="7" s="1"/>
  <c r="AK33" i="7" s="1"/>
  <c r="AL34" i="6"/>
  <c r="F34" i="7" s="1"/>
  <c r="AK34" i="7" s="1"/>
  <c r="AL35" i="6"/>
  <c r="F35" i="7" s="1"/>
  <c r="AK35" i="7" s="1"/>
  <c r="AL36" i="6"/>
  <c r="F36" i="7" s="1"/>
  <c r="AK36" i="7" s="1"/>
  <c r="AL37" i="6"/>
  <c r="F37" i="7" s="1"/>
  <c r="AK37" i="7" s="1"/>
  <c r="AL38" i="6"/>
  <c r="F38" i="7" s="1"/>
  <c r="AK38" i="7" s="1"/>
  <c r="AL39" i="6"/>
  <c r="F39" i="7" s="1"/>
  <c r="AK39" i="7" s="1"/>
  <c r="AL40" i="6"/>
  <c r="F40" i="7" s="1"/>
  <c r="AK40" i="7" s="1"/>
  <c r="AL41" i="6"/>
  <c r="F41" i="7" s="1"/>
  <c r="AK41" i="7" s="1"/>
  <c r="AL42" i="6"/>
  <c r="F42" i="7" s="1"/>
  <c r="AK42" i="7" s="1"/>
  <c r="AL43" i="6"/>
  <c r="F43" i="7" s="1"/>
  <c r="AK43" i="7" s="1"/>
  <c r="AL44" i="6"/>
  <c r="F44" i="7" s="1"/>
  <c r="AK44" i="7" s="1"/>
  <c r="AL45" i="6"/>
  <c r="F45" i="7" s="1"/>
  <c r="AK45" i="7" s="1"/>
  <c r="AL46" i="6"/>
  <c r="F46" i="7" s="1"/>
  <c r="AK46" i="7" s="1"/>
  <c r="AL47" i="6"/>
  <c r="F47" i="7" s="1"/>
  <c r="AK47" i="7" s="1"/>
  <c r="AL48" i="6"/>
  <c r="F48" i="7" s="1"/>
  <c r="AK48" i="7" s="1"/>
  <c r="AL49" i="6"/>
  <c r="F49" i="7" s="1"/>
  <c r="AK49" i="7" s="1"/>
  <c r="AL50" i="6"/>
  <c r="F50" i="7" s="1"/>
  <c r="AK50" i="7" s="1"/>
  <c r="AL51" i="6"/>
  <c r="F51" i="7" s="1"/>
  <c r="AK51" i="7" s="1"/>
  <c r="AL52" i="6"/>
  <c r="F52" i="7" s="1"/>
  <c r="AK52" i="7" s="1"/>
  <c r="AL53" i="6"/>
  <c r="F53" i="7" s="1"/>
  <c r="AK53" i="7" s="1"/>
  <c r="AL54" i="6"/>
  <c r="F54" i="7" s="1"/>
  <c r="AK54" i="7" s="1"/>
  <c r="AL55" i="6"/>
  <c r="F55" i="7" s="1"/>
  <c r="AK55" i="7" s="1"/>
  <c r="AL56" i="6"/>
  <c r="F56" i="7" s="1"/>
  <c r="AK56" i="7" s="1"/>
  <c r="AL57" i="6"/>
  <c r="F57" i="7" s="1"/>
  <c r="AK57" i="7" s="1"/>
  <c r="AL58" i="6"/>
  <c r="F58" i="7" s="1"/>
  <c r="AK58" i="7" s="1"/>
  <c r="AL59" i="6"/>
  <c r="F59" i="7" s="1"/>
  <c r="AK59" i="7" s="1"/>
  <c r="AL60" i="6"/>
  <c r="F60" i="7" s="1"/>
  <c r="AK60" i="7" s="1"/>
  <c r="AL61" i="6"/>
  <c r="F61" i="7" s="1"/>
  <c r="AK61" i="7" s="1"/>
  <c r="AL62" i="6"/>
  <c r="F62" i="7" s="1"/>
  <c r="AK62" i="7" s="1"/>
  <c r="AL63" i="6"/>
  <c r="F63" i="7" s="1"/>
  <c r="AK63" i="7" s="1"/>
  <c r="AL64" i="6"/>
  <c r="F64" i="7" s="1"/>
  <c r="AK64" i="7" s="1"/>
  <c r="AL65" i="6"/>
  <c r="F65" i="7" s="1"/>
  <c r="AK65" i="7" s="1"/>
  <c r="AL66" i="6"/>
  <c r="F66" i="7" s="1"/>
  <c r="AK66" i="7" s="1"/>
  <c r="AL67" i="6"/>
  <c r="F67" i="7" s="1"/>
  <c r="AK67" i="7" s="1"/>
  <c r="AL68" i="6"/>
  <c r="F68" i="7" s="1"/>
  <c r="AK68" i="7" s="1"/>
  <c r="AL69" i="6"/>
  <c r="F69" i="7" s="1"/>
  <c r="AK69" i="7" s="1"/>
  <c r="AL70" i="6"/>
  <c r="F70" i="7" s="1"/>
  <c r="AK70" i="7" s="1"/>
  <c r="AL71" i="6"/>
  <c r="F71" i="7" s="1"/>
  <c r="AK71" i="7" s="1"/>
  <c r="AL72" i="6"/>
  <c r="F72" i="7" s="1"/>
  <c r="AK72" i="7" s="1"/>
  <c r="AL73" i="6"/>
  <c r="F73" i="7" s="1"/>
  <c r="AK73" i="7" s="1"/>
  <c r="AL74" i="6"/>
  <c r="F74" i="7" s="1"/>
  <c r="AK74" i="7" s="1"/>
  <c r="AL75" i="6"/>
  <c r="F75" i="7" s="1"/>
  <c r="AK75" i="7" s="1"/>
  <c r="AL76" i="6"/>
  <c r="F76" i="7" s="1"/>
  <c r="AK76" i="7" s="1"/>
  <c r="AL77" i="6"/>
  <c r="F77" i="7" s="1"/>
  <c r="AK77" i="7" s="1"/>
  <c r="AL78" i="6"/>
  <c r="F78" i="7" s="1"/>
  <c r="AK78" i="7" s="1"/>
  <c r="AL79" i="6"/>
  <c r="F79" i="7" s="1"/>
  <c r="AK79" i="7" s="1"/>
  <c r="AL80" i="6"/>
  <c r="F80" i="7" s="1"/>
  <c r="AK80" i="7" s="1"/>
  <c r="AL81" i="6"/>
  <c r="F81" i="7" s="1"/>
  <c r="AK81" i="7" s="1"/>
  <c r="AL82" i="6"/>
  <c r="F82" i="7" s="1"/>
  <c r="AK82" i="7" s="1"/>
  <c r="AL83" i="6"/>
  <c r="F83" i="7" s="1"/>
  <c r="AK83" i="7" s="1"/>
  <c r="AL84" i="6"/>
  <c r="F84" i="7" s="1"/>
  <c r="AK84" i="7" s="1"/>
  <c r="AL85" i="6"/>
  <c r="F85" i="7" s="1"/>
  <c r="AK85" i="7" s="1"/>
  <c r="AL86" i="6"/>
  <c r="F86" i="7" s="1"/>
  <c r="AK86" i="7" s="1"/>
  <c r="AL87" i="6"/>
  <c r="F87" i="7" s="1"/>
  <c r="AK87" i="7" s="1"/>
  <c r="AL88" i="6"/>
  <c r="F88" i="7" s="1"/>
  <c r="AK88" i="7" s="1"/>
  <c r="AL89" i="6"/>
  <c r="F89" i="7" s="1"/>
  <c r="AK89" i="7" s="1"/>
  <c r="AL90" i="6"/>
  <c r="F90" i="7" s="1"/>
  <c r="AK90" i="7" s="1"/>
  <c r="AL91" i="6"/>
  <c r="F91" i="7" s="1"/>
  <c r="AK91" i="7" s="1"/>
  <c r="AL92" i="6"/>
  <c r="F92" i="7" s="1"/>
  <c r="AK92" i="7" s="1"/>
  <c r="AL93" i="6"/>
  <c r="F93" i="7" s="1"/>
  <c r="AK93" i="7" s="1"/>
  <c r="AL94" i="6"/>
  <c r="F94" i="7" s="1"/>
  <c r="AK94" i="7" s="1"/>
  <c r="AL95" i="6"/>
  <c r="F95" i="7" s="1"/>
  <c r="AK95" i="7" s="1"/>
  <c r="AL96" i="6"/>
  <c r="F96" i="7" s="1"/>
  <c r="AK96" i="7" s="1"/>
  <c r="AL97" i="6"/>
  <c r="F97" i="7" s="1"/>
  <c r="AK97" i="7" s="1"/>
  <c r="AL11" i="6"/>
  <c r="F11" i="7" s="1"/>
  <c r="AK11" i="7" s="1"/>
  <c r="K23" i="6" l="1"/>
  <c r="K95" i="6"/>
  <c r="N19" i="1" l="1"/>
  <c r="AL19" i="1" s="1"/>
  <c r="F19" i="5" s="1"/>
  <c r="AF32" i="5"/>
  <c r="AA96" i="1"/>
  <c r="N18" i="1"/>
  <c r="AK32" i="1"/>
  <c r="AK18" i="1"/>
  <c r="AI18" i="1"/>
  <c r="AA19" i="1"/>
  <c r="AA32" i="1"/>
  <c r="AA18" i="1"/>
  <c r="AA17" i="1"/>
  <c r="W32" i="1"/>
  <c r="W18" i="1"/>
  <c r="Y18" i="1"/>
  <c r="S18" i="1"/>
  <c r="AL18" i="1" s="1"/>
  <c r="F18" i="5" s="1"/>
  <c r="S31" i="1"/>
  <c r="S29" i="1"/>
  <c r="H18" i="1"/>
  <c r="H32" i="1"/>
  <c r="AL96" i="1"/>
  <c r="F96" i="5" s="1"/>
  <c r="AL12" i="1"/>
  <c r="F12" i="5" s="1"/>
  <c r="AL13" i="1"/>
  <c r="F13" i="5" s="1"/>
  <c r="AL14" i="1"/>
  <c r="F14" i="5" s="1"/>
  <c r="AL15" i="1"/>
  <c r="F15" i="5" s="1"/>
  <c r="AL16" i="1"/>
  <c r="F16" i="5" s="1"/>
  <c r="AL17" i="1"/>
  <c r="F17" i="5" s="1"/>
  <c r="AL20" i="1"/>
  <c r="F20" i="5" s="1"/>
  <c r="AL21" i="1"/>
  <c r="F21" i="5" s="1"/>
  <c r="AL22" i="1"/>
  <c r="F22" i="5" s="1"/>
  <c r="AL23" i="1"/>
  <c r="F23" i="5" s="1"/>
  <c r="AL24" i="1"/>
  <c r="F24" i="5" s="1"/>
  <c r="AL25" i="1"/>
  <c r="F25" i="5" s="1"/>
  <c r="AL26" i="1"/>
  <c r="F26" i="5" s="1"/>
  <c r="AL27" i="1"/>
  <c r="F27" i="5" s="1"/>
  <c r="AL28" i="1"/>
  <c r="F28" i="5" s="1"/>
  <c r="AL29" i="1"/>
  <c r="F29" i="5" s="1"/>
  <c r="AL30" i="1"/>
  <c r="F30" i="5" s="1"/>
  <c r="AL31" i="1"/>
  <c r="F31" i="5" s="1"/>
  <c r="AL32" i="1"/>
  <c r="F32" i="5" s="1"/>
  <c r="AL33" i="1"/>
  <c r="F33" i="5" s="1"/>
  <c r="AL34" i="1"/>
  <c r="F34" i="5" s="1"/>
  <c r="AL35" i="1"/>
  <c r="F35" i="5" s="1"/>
  <c r="AL36" i="1"/>
  <c r="F36" i="5" s="1"/>
  <c r="AL37" i="1"/>
  <c r="F37" i="5" s="1"/>
  <c r="AL38" i="1"/>
  <c r="F38" i="5" s="1"/>
  <c r="AL39" i="1"/>
  <c r="F39" i="5" s="1"/>
  <c r="AL40" i="1"/>
  <c r="F40" i="5" s="1"/>
  <c r="AL41" i="1"/>
  <c r="F41" i="5" s="1"/>
  <c r="AL42" i="1"/>
  <c r="F42" i="5" s="1"/>
  <c r="AL43" i="1"/>
  <c r="F43" i="5" s="1"/>
  <c r="AL44" i="1"/>
  <c r="F44" i="5" s="1"/>
  <c r="AL45" i="1"/>
  <c r="F45" i="5" s="1"/>
  <c r="AL46" i="1"/>
  <c r="F46" i="5" s="1"/>
  <c r="AL47" i="1"/>
  <c r="F47" i="5" s="1"/>
  <c r="AL48" i="1"/>
  <c r="F48" i="5" s="1"/>
  <c r="AL49" i="1"/>
  <c r="F49" i="5" s="1"/>
  <c r="AL50" i="1"/>
  <c r="F50" i="5" s="1"/>
  <c r="AL51" i="1"/>
  <c r="F51" i="5" s="1"/>
  <c r="AL52" i="1"/>
  <c r="F52" i="5" s="1"/>
  <c r="AL53" i="1"/>
  <c r="F53" i="5" s="1"/>
  <c r="AL54" i="1"/>
  <c r="F54" i="5" s="1"/>
  <c r="AL55" i="1"/>
  <c r="F55" i="5" s="1"/>
  <c r="AL56" i="1"/>
  <c r="F56" i="5" s="1"/>
  <c r="AL57" i="1"/>
  <c r="F57" i="5" s="1"/>
  <c r="AL58" i="1"/>
  <c r="F58" i="5" s="1"/>
  <c r="AL59" i="1"/>
  <c r="F59" i="5" s="1"/>
  <c r="AL60" i="1"/>
  <c r="F60" i="5" s="1"/>
  <c r="AL61" i="1"/>
  <c r="F61" i="5" s="1"/>
  <c r="AL62" i="1"/>
  <c r="F62" i="5" s="1"/>
  <c r="AL63" i="1"/>
  <c r="F63" i="5" s="1"/>
  <c r="AL64" i="1"/>
  <c r="F64" i="5" s="1"/>
  <c r="AL65" i="1"/>
  <c r="F65" i="5" s="1"/>
  <c r="AL66" i="1"/>
  <c r="F66" i="5" s="1"/>
  <c r="AL67" i="1"/>
  <c r="F67" i="5" s="1"/>
  <c r="AL68" i="1"/>
  <c r="F68" i="5" s="1"/>
  <c r="AL69" i="1"/>
  <c r="F69" i="5" s="1"/>
  <c r="AL70" i="1"/>
  <c r="F70" i="5" s="1"/>
  <c r="AL71" i="1"/>
  <c r="F71" i="5" s="1"/>
  <c r="AL72" i="1"/>
  <c r="F72" i="5" s="1"/>
  <c r="AL73" i="1"/>
  <c r="F73" i="5" s="1"/>
  <c r="AL74" i="1"/>
  <c r="F74" i="5" s="1"/>
  <c r="AL75" i="1"/>
  <c r="F75" i="5" s="1"/>
  <c r="AL76" i="1"/>
  <c r="F76" i="5" s="1"/>
  <c r="AL77" i="1"/>
  <c r="F77" i="5" s="1"/>
  <c r="AL78" i="1"/>
  <c r="F78" i="5" s="1"/>
  <c r="AL79" i="1"/>
  <c r="F79" i="5" s="1"/>
  <c r="AL80" i="1"/>
  <c r="F80" i="5" s="1"/>
  <c r="AL81" i="1"/>
  <c r="F81" i="5" s="1"/>
  <c r="AL82" i="1"/>
  <c r="F82" i="5" s="1"/>
  <c r="AL83" i="1"/>
  <c r="F83" i="5" s="1"/>
  <c r="AL84" i="1"/>
  <c r="F84" i="5" s="1"/>
  <c r="AL85" i="1"/>
  <c r="F85" i="5" s="1"/>
  <c r="AL86" i="1"/>
  <c r="F86" i="5" s="1"/>
  <c r="AL87" i="1"/>
  <c r="F87" i="5" s="1"/>
  <c r="AL88" i="1"/>
  <c r="F88" i="5" s="1"/>
  <c r="AL89" i="1"/>
  <c r="F89" i="5" s="1"/>
  <c r="AL90" i="1"/>
  <c r="F90" i="5" s="1"/>
  <c r="AL91" i="1"/>
  <c r="F91" i="5" s="1"/>
  <c r="AL92" i="1"/>
  <c r="F92" i="5" s="1"/>
  <c r="AL93" i="1"/>
  <c r="F93" i="5" s="1"/>
  <c r="AL94" i="1"/>
  <c r="F94" i="5" s="1"/>
  <c r="AL95" i="1"/>
  <c r="F95" i="5" s="1"/>
  <c r="AL11" i="1"/>
  <c r="F11" i="5" s="1"/>
  <c r="AG64" i="5"/>
  <c r="Z18" i="5"/>
  <c r="AD32" i="5"/>
  <c r="AD18" i="5"/>
  <c r="X32" i="5"/>
  <c r="AG29" i="5"/>
  <c r="AG18" i="5"/>
  <c r="AG31" i="5"/>
  <c r="AD29" i="5"/>
  <c r="O32" i="5"/>
  <c r="O18" i="5"/>
  <c r="O29" i="5"/>
  <c r="W18" i="5"/>
  <c r="W31" i="5"/>
  <c r="S29" i="5"/>
  <c r="Z95" i="5" l="1"/>
  <c r="Z23" i="5"/>
  <c r="Z29" i="5"/>
  <c r="AC18" i="5"/>
  <c r="J29" i="5"/>
  <c r="J11" i="5"/>
  <c r="J18" i="5"/>
  <c r="J31" i="5"/>
  <c r="J23" i="5"/>
  <c r="AI23" i="5" s="1"/>
  <c r="F23" i="6" s="1"/>
  <c r="J95" i="5"/>
  <c r="H11" i="5"/>
  <c r="H18" i="5"/>
  <c r="H29" i="5"/>
  <c r="AI29" i="5" s="1"/>
  <c r="F29" i="6" s="1"/>
  <c r="AL29" i="6" s="1"/>
  <c r="F29" i="7" s="1"/>
  <c r="AK29" i="7" s="1"/>
  <c r="H31" i="5"/>
  <c r="AI13" i="5"/>
  <c r="F13" i="6" s="1"/>
  <c r="AI14" i="5"/>
  <c r="F14" i="6" s="1"/>
  <c r="AI15" i="5"/>
  <c r="F15" i="6" s="1"/>
  <c r="AI16" i="5"/>
  <c r="F16" i="6" s="1"/>
  <c r="AI17" i="5"/>
  <c r="F17" i="6" s="1"/>
  <c r="AI18" i="5"/>
  <c r="F18" i="6" s="1"/>
  <c r="AI19" i="5"/>
  <c r="F19" i="6" s="1"/>
  <c r="AI20" i="5"/>
  <c r="F20" i="6" s="1"/>
  <c r="AI21" i="5"/>
  <c r="F21" i="6" s="1"/>
  <c r="AI22" i="5"/>
  <c r="F22" i="6" s="1"/>
  <c r="AI24" i="5"/>
  <c r="F24" i="6" s="1"/>
  <c r="AI25" i="5"/>
  <c r="F25" i="6" s="1"/>
  <c r="AI26" i="5"/>
  <c r="F26" i="6" s="1"/>
  <c r="AI27" i="5"/>
  <c r="F27" i="6" s="1"/>
  <c r="AI28" i="5"/>
  <c r="F28" i="6" s="1"/>
  <c r="AI30" i="5"/>
  <c r="F30" i="6" s="1"/>
  <c r="AI31" i="5"/>
  <c r="F31" i="6" s="1"/>
  <c r="AI32" i="5"/>
  <c r="F32" i="6" s="1"/>
  <c r="AI33" i="5"/>
  <c r="F33" i="6" s="1"/>
  <c r="AI34" i="5"/>
  <c r="F34" i="6" s="1"/>
  <c r="AI35" i="5"/>
  <c r="F35" i="6" s="1"/>
  <c r="AI36" i="5"/>
  <c r="F36" i="6" s="1"/>
  <c r="AI37" i="5"/>
  <c r="F37" i="6" s="1"/>
  <c r="AI38" i="5"/>
  <c r="F38" i="6" s="1"/>
  <c r="AI39" i="5"/>
  <c r="F39" i="6" s="1"/>
  <c r="AI40" i="5"/>
  <c r="F40" i="6" s="1"/>
  <c r="AI41" i="5"/>
  <c r="F41" i="6" s="1"/>
  <c r="AI42" i="5"/>
  <c r="F42" i="6" s="1"/>
  <c r="AI43" i="5"/>
  <c r="F43" i="6" s="1"/>
  <c r="AI44" i="5"/>
  <c r="F44" i="6" s="1"/>
  <c r="AI45" i="5"/>
  <c r="F45" i="6" s="1"/>
  <c r="AI46" i="5"/>
  <c r="F46" i="6" s="1"/>
  <c r="AI47" i="5"/>
  <c r="F47" i="6" s="1"/>
  <c r="AI48" i="5"/>
  <c r="F48" i="6" s="1"/>
  <c r="AI49" i="5"/>
  <c r="F49" i="6" s="1"/>
  <c r="AI50" i="5"/>
  <c r="F50" i="6" s="1"/>
  <c r="AI51" i="5"/>
  <c r="F51" i="6" s="1"/>
  <c r="AI52" i="5"/>
  <c r="F52" i="6" s="1"/>
  <c r="AI53" i="5"/>
  <c r="F53" i="6" s="1"/>
  <c r="AI54" i="5"/>
  <c r="F54" i="6" s="1"/>
  <c r="AI55" i="5"/>
  <c r="F55" i="6" s="1"/>
  <c r="AI56" i="5"/>
  <c r="F56" i="6" s="1"/>
  <c r="AI57" i="5"/>
  <c r="F57" i="6" s="1"/>
  <c r="AI58" i="5"/>
  <c r="F58" i="6" s="1"/>
  <c r="AI59" i="5"/>
  <c r="F59" i="6" s="1"/>
  <c r="AI60" i="5"/>
  <c r="F60" i="6" s="1"/>
  <c r="AI61" i="5"/>
  <c r="F61" i="6" s="1"/>
  <c r="AI62" i="5"/>
  <c r="F62" i="6" s="1"/>
  <c r="AI63" i="5"/>
  <c r="F63" i="6" s="1"/>
  <c r="AI64" i="5"/>
  <c r="F64" i="6" s="1"/>
  <c r="AI65" i="5"/>
  <c r="F65" i="6" s="1"/>
  <c r="AI66" i="5"/>
  <c r="F66" i="6" s="1"/>
  <c r="AI67" i="5"/>
  <c r="F67" i="6" s="1"/>
  <c r="AI68" i="5"/>
  <c r="F68" i="6" s="1"/>
  <c r="AI69" i="5"/>
  <c r="F69" i="6" s="1"/>
  <c r="AI70" i="5"/>
  <c r="F70" i="6" s="1"/>
  <c r="AI71" i="5"/>
  <c r="F71" i="6" s="1"/>
  <c r="AI72" i="5"/>
  <c r="F72" i="6" s="1"/>
  <c r="AI73" i="5"/>
  <c r="F73" i="6" s="1"/>
  <c r="AI74" i="5"/>
  <c r="F74" i="6" s="1"/>
  <c r="AI75" i="5"/>
  <c r="F75" i="6" s="1"/>
  <c r="AI76" i="5"/>
  <c r="F76" i="6" s="1"/>
  <c r="AI77" i="5"/>
  <c r="F77" i="6" s="1"/>
  <c r="AI78" i="5"/>
  <c r="F78" i="6" s="1"/>
  <c r="AI79" i="5"/>
  <c r="F79" i="6" s="1"/>
  <c r="AI80" i="5"/>
  <c r="F80" i="6" s="1"/>
  <c r="AI81" i="5"/>
  <c r="F81" i="6" s="1"/>
  <c r="AI82" i="5"/>
  <c r="F82" i="6" s="1"/>
  <c r="AI83" i="5"/>
  <c r="F83" i="6" s="1"/>
  <c r="AI84" i="5"/>
  <c r="F84" i="6" s="1"/>
  <c r="AI85" i="5"/>
  <c r="F85" i="6" s="1"/>
  <c r="AI86" i="5"/>
  <c r="F86" i="6" s="1"/>
  <c r="AI87" i="5"/>
  <c r="F87" i="6" s="1"/>
  <c r="AI88" i="5"/>
  <c r="F88" i="6" s="1"/>
  <c r="AI89" i="5"/>
  <c r="F89" i="6" s="1"/>
  <c r="AI90" i="5"/>
  <c r="F90" i="6" s="1"/>
  <c r="AI91" i="5"/>
  <c r="F91" i="6" s="1"/>
  <c r="AI92" i="5"/>
  <c r="F92" i="6" s="1"/>
  <c r="AI93" i="5"/>
  <c r="F93" i="6" s="1"/>
  <c r="AI94" i="5"/>
  <c r="F94" i="6" s="1"/>
  <c r="AI95" i="5"/>
  <c r="F95" i="6" s="1"/>
  <c r="AI96" i="5"/>
  <c r="F96" i="6" s="1"/>
  <c r="AI97" i="5"/>
  <c r="AI98" i="5"/>
  <c r="AI99" i="5"/>
  <c r="AI100" i="5"/>
  <c r="AI101" i="5"/>
  <c r="AI102" i="5"/>
  <c r="AI103" i="5"/>
  <c r="AI104" i="5"/>
  <c r="AI105" i="5"/>
  <c r="AI12" i="5"/>
  <c r="F12" i="6" s="1"/>
  <c r="AJ18" i="1"/>
  <c r="AJ29" i="1"/>
  <c r="AJ11" i="1"/>
  <c r="AJ31" i="1"/>
  <c r="AI29" i="1"/>
  <c r="AI11" i="1"/>
  <c r="AI31" i="1"/>
  <c r="AH18" i="1"/>
  <c r="AH29" i="1"/>
  <c r="AC95" i="1"/>
  <c r="AC23" i="1"/>
  <c r="AC29" i="1"/>
  <c r="AB23" i="1"/>
  <c r="AB29" i="1"/>
  <c r="AB95" i="1"/>
  <c r="Y29" i="1"/>
  <c r="W17" i="1"/>
  <c r="W95" i="1"/>
  <c r="W23" i="1"/>
  <c r="V23" i="1"/>
  <c r="V95" i="1"/>
  <c r="T32" i="1"/>
  <c r="T18" i="1"/>
  <c r="R29" i="1"/>
  <c r="O29" i="1"/>
  <c r="O18" i="1"/>
  <c r="O95" i="1"/>
  <c r="O23" i="1"/>
  <c r="J29" i="1"/>
  <c r="AI11" i="5" l="1"/>
  <c r="F11" i="6" s="1"/>
  <c r="H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M17" authorId="0" shapeId="0" xr:uid="{26D5B0EC-D15F-4446-A993-D17C0E3943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-7140  Dt.7-Jan-26</t>
        </r>
      </text>
    </comment>
    <comment ref="Z17" authorId="0" shapeId="0" xr:uid="{D07180DB-597F-4D3B-86DD-D298BBB3D9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-5113  Dt.21-Jan-26</t>
        </r>
      </text>
    </comment>
    <comment ref="M18" authorId="0" shapeId="0" xr:uid="{71FCAEA2-EC26-47C3-A483-8C5DBE2110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-7140  Dt.7-Jan-26</t>
        </r>
      </text>
    </comment>
    <comment ref="Z18" authorId="0" shapeId="0" xr:uid="{C0601A05-D4EC-4489-901E-5F29D3830C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-5113  Dt.21-Jan-26</t>
        </r>
      </text>
    </comment>
    <comment ref="M25" authorId="0" shapeId="0" xr:uid="{ABF31913-8BC5-4B7C-89F0-A26F8AA662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-7140  Dt.7-Jan-26</t>
        </r>
      </text>
    </comment>
    <comment ref="Z25" authorId="0" shapeId="0" xr:uid="{FFE46125-D34C-42D3-A4B0-DFF44C5204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-5113  Dt.21-Jan-26</t>
        </r>
      </text>
    </comment>
    <comment ref="Z29" authorId="0" shapeId="0" xr:uid="{7150D84F-54FE-41E8-B944-DF1A6A2513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-5113  Dt.21-Jan-26</t>
        </r>
      </text>
    </comment>
    <comment ref="Z31" authorId="0" shapeId="0" xr:uid="{99CD0E87-4BDD-40F9-9E5A-7BE23A192F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-5113  Dt.21-Jan-26</t>
        </r>
      </text>
    </comment>
    <comment ref="M32" authorId="0" shapeId="0" xr:uid="{FA7A8B6D-2DB3-4F87-A422-CBFC834BC2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-7140  Dt.7-Jan-26</t>
        </r>
      </text>
    </comment>
    <comment ref="Z32" authorId="0" shapeId="0" xr:uid="{2BA4F675-82D3-40BE-A861-044F67B539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-5113  Dt.21-Jan-26</t>
        </r>
      </text>
    </comment>
    <comment ref="V38" authorId="0" shapeId="0" xr:uid="{0057C4B0-ECB8-4171-BB58-6F98C62E04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-7370  Dt.16-Jan-26</t>
        </r>
      </text>
    </comment>
    <comment ref="AA48" authorId="0" shapeId="0" xr:uid="{3C2FB0C8-F668-412D-995F-04682537F3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69" authorId="0" shapeId="0" xr:uid="{8105CAF4-7627-4565-9761-33D2E07BFF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AK70" authorId="0" shapeId="0" xr:uid="{320D40B8-55BB-4EF6-AB1D-7D10F1BCEE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AA72" authorId="0" shapeId="0" xr:uid="{1FC7A6FD-DB94-474D-B98D-B9BF982B77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A73" authorId="0" shapeId="0" xr:uid="{7EE2AF98-904A-4152-9587-DA637F227E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Inv-AE/CR/25-26/4116 Dt-21-jan-26</t>
        </r>
      </text>
    </comment>
    <comment ref="O78" authorId="0" shapeId="0" xr:uid="{112EC570-5267-4D45-BEDE-1E536D0514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Ramdev Electronics           Inv-6760 Dt.9-Jan-26</t>
        </r>
      </text>
    </comment>
    <comment ref="AA88" authorId="0" shapeId="0" xr:uid="{9AC27165-E078-4496-A9DF-EE4DA2AE66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C4651BA3-4318-4EF7-AB62-05D535BB84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F11" authorId="0" shapeId="0" xr:uid="{B52BFA4A-1B30-4DE9-901B-71A1185A67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-8426 Dt.27-Feb-26</t>
        </r>
      </text>
    </comment>
    <comment ref="AA18" authorId="0" shapeId="0" xr:uid="{E7A1A207-376C-454F-9E4E-1A3E3F6E1D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-1397 Dt.21-Feb-26</t>
        </r>
      </text>
    </comment>
    <comment ref="AA31" authorId="0" shapeId="0" xr:uid="{04ECD753-A2EB-4D09-8316-5179E560E8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-1397 Dt.21-Feb-26</t>
        </r>
      </text>
    </comment>
    <comment ref="AA32" authorId="0" shapeId="0" xr:uid="{EEEB2B85-2C21-4119-8F2D-8B2E5A387D9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-1397 Dt.21-Feb-26</t>
        </r>
      </text>
    </comment>
    <comment ref="AA48" authorId="0" shapeId="0" xr:uid="{2F12615F-446A-41E9-8730-3E05992667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Connections                         Inv-9398 Dt.21-Feb-26</t>
        </r>
      </text>
    </comment>
    <comment ref="Y56" authorId="0" shapeId="0" xr:uid="{F20609C3-B7BA-4758-84CC-177A337A57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Tapes World                   Inv -A11120 Dt.19-Feb-26</t>
        </r>
      </text>
    </comment>
    <comment ref="AF82" authorId="0" shapeId="0" xr:uid="{B97F9E45-3EB8-4410-8535-76FDD8C52B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  InvAE/CR/25-26/4640 Dt.27-Feb-26</t>
        </r>
      </text>
    </comment>
    <comment ref="AG88" authorId="0" shapeId="0" xr:uid="{7D7E4DC8-0458-4F60-860B-3C1183D8B6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  InvAE/CR/25-26/4640 Dt.27-Feb-26</t>
        </r>
      </text>
    </comment>
    <comment ref="AA96" authorId="0" shapeId="0" xr:uid="{984BE5C3-F3AF-479C-B418-C3501622F9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   Inv -1397 Dt.21-Feb-26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5CE6D466-7808-4BC5-8125-A9FEFA0A00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L11" authorId="0" shapeId="0" xr:uid="{66979AA0-A69E-46D2-80B3-A8ADBF742E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Inv-8626 Dt.5-Mar-26</t>
        </r>
      </text>
    </comment>
    <comment ref="L29" authorId="0" shapeId="0" xr:uid="{CA4AEF9E-FDA1-4078-85EB-9BED10ECBF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Inv-8626 Dt.5-Mar-26</t>
        </r>
      </text>
    </comment>
    <comment ref="L31" authorId="0" shapeId="0" xr:uid="{39C4E344-0E1A-44B3-86EC-E39328E32E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Inv-8626 Dt.5-Mar-26</t>
        </r>
      </text>
    </comment>
    <comment ref="L59" authorId="0" shapeId="0" xr:uid="{102FD867-0BB6-456F-A8FF-2203183009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Inv-4771 Dt-5-Mar-26</t>
        </r>
      </text>
    </comment>
    <comment ref="L67" authorId="0" shapeId="0" xr:uid="{09F3A47F-FF2B-4539-9AF6-E1C61F04AF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Inv-4771 Dt-5-Mar-26</t>
        </r>
      </text>
    </comment>
    <comment ref="U73" authorId="0" shapeId="0" xr:uid="{DD9A1AC6-AE09-469D-9DFD-442FC21D55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
Dt-10-mar-26</t>
        </r>
      </text>
    </comment>
    <comment ref="U88" authorId="0" shapeId="0" xr:uid="{DD8FF4A6-7A0F-475A-9B9D-9EF5CD82BA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
Dt-10-mar-26</t>
        </r>
      </text>
    </comment>
    <comment ref="L97" authorId="0" shapeId="0" xr:uid="{A291F288-5136-4634-A776-CB19FCB7FA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    Inv-8626 Dt.5-Mar-26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E3D81B28-378B-4644-8CA2-FED460BB18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K18" authorId="0" shapeId="0" xr:uid="{223B125D-38DD-406E-8AFC-2798704AFD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
Inv-DTC/26-27/87
Dt-4-Apr-26
</t>
        </r>
      </text>
    </comment>
    <comment ref="W18" authorId="0" shapeId="0" xr:uid="{F833478A-E9A8-457A-8CEE-DBA13392D6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
 Inv-DTC/26-27/380
 Dt.17-Apr-26</t>
        </r>
      </text>
    </comment>
    <comment ref="W19" authorId="0" shapeId="0" xr:uid="{AC3564A3-9109-4A92-9BB3-E397C93B2C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
 Inv-DTC/26-27/380
 Dt.17-Apr-26</t>
        </r>
      </text>
    </comment>
    <comment ref="W31" authorId="0" shapeId="0" xr:uid="{9BACE59A-C3D7-404A-90FF-E89FB6E8FC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
 Inv-DTC/26-27/380
 Dt.17-Apr-26</t>
        </r>
      </text>
    </comment>
    <comment ref="W32" authorId="0" shapeId="0" xr:uid="{693C7799-4217-4BD9-AD9E-DDD269F445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
 Inv-DTC/26-27/380
 Dt.17-Apr-26</t>
        </r>
      </text>
    </comment>
    <comment ref="W96" authorId="0" shapeId="0" xr:uid="{3FA482EF-3752-48B8-A596-E295DC553A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Durga Trading Company
 Inv-DTC/26-27/380
 Dt.17-Apr-26</t>
        </r>
      </text>
    </comment>
  </commentList>
</comments>
</file>

<file path=xl/sharedStrings.xml><?xml version="1.0" encoding="utf-8"?>
<sst xmlns="http://schemas.openxmlformats.org/spreadsheetml/2006/main" count="1178" uniqueCount="209">
  <si>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</si>
  <si>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</si>
  <si>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</si>
  <si>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</si>
  <si>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</si>
  <si>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</si>
  <si>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</si>
  <si>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</si>
  <si>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</si>
  <si>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</si>
  <si>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</si>
  <si>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</si>
  <si>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</si>
  <si>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</si>
  <si>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</si>
  <si>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</si>
  <si>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</si>
  <si>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</si>
  <si>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</si>
  <si>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</si>
  <si>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</si>
  <si>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</si>
  <si>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</si>
  <si>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</si>
  <si>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</si>
  <si>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</si>
  <si>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</si>
  <si>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</si>
  <si>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</si>
  <si>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</si>
  <si>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</si>
  <si>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F4</t>
  </si>
  <si>
    <t>F3</t>
  </si>
  <si>
    <t>D3</t>
  </si>
  <si>
    <t>SCR-0260001</t>
  </si>
  <si>
    <t>Screw - CSK - M2 x 10mm</t>
  </si>
  <si>
    <t>SCR-0260002</t>
  </si>
  <si>
    <t>Screw - CSK - M2 x 6mm</t>
  </si>
  <si>
    <t>SCR-0260003</t>
  </si>
  <si>
    <t>Screw - CSK - M3 x 10mm</t>
  </si>
  <si>
    <t>SCR-0260004</t>
  </si>
  <si>
    <t>Screw - CSK - Self Tap - M3 x 18mm</t>
  </si>
  <si>
    <t>SCR-0260005</t>
  </si>
  <si>
    <t>Screw - CSK - M3 x 4mm</t>
  </si>
  <si>
    <t>SCR-0260006</t>
  </si>
  <si>
    <t>Screw - CSK - M3 x 6mm</t>
  </si>
  <si>
    <t>SCR-0260007</t>
  </si>
  <si>
    <t>Screw - CSK - M3 x 8mm</t>
  </si>
  <si>
    <t>SCR-0260008</t>
  </si>
  <si>
    <t>Screw - CSK - Self Tap - M3 x 9mm</t>
  </si>
  <si>
    <t>SCR-0260009</t>
  </si>
  <si>
    <t>Screw - CSK - M3 x 12mm</t>
  </si>
  <si>
    <t>SCR-0260010</t>
  </si>
  <si>
    <t>Screw - Pan Head - M2 x 4mm</t>
  </si>
  <si>
    <t>SCR-0260011</t>
  </si>
  <si>
    <t>Screw - Pan Head - M2 x 5mm</t>
  </si>
  <si>
    <t>SCR-0260014</t>
  </si>
  <si>
    <t>Screw - Pan Head - M2 x 6mm</t>
  </si>
  <si>
    <t>SCR-0260015</t>
  </si>
  <si>
    <t>Screw - Pan Head - M2.5 x 15mm</t>
  </si>
  <si>
    <t>SCR-0260016</t>
  </si>
  <si>
    <t>Screw - Pan Head - M2.5 x 3mm</t>
  </si>
  <si>
    <t>SCR-0260017</t>
  </si>
  <si>
    <t>Screw - Pan Head - M3 x 6mm</t>
  </si>
  <si>
    <t>SCR-0260019</t>
  </si>
  <si>
    <t>Screw - Pan Head - Self Tap M2 x 6.5mm</t>
  </si>
  <si>
    <t>SCR-0260020</t>
  </si>
  <si>
    <t>Screw - Pan Head - Self Tap M3 x 8mm</t>
  </si>
  <si>
    <t>SCR-0260021</t>
  </si>
  <si>
    <t>Screw - CSK - Self Tap - M2.5 x 14mm</t>
  </si>
  <si>
    <t>SCR-0260022</t>
  </si>
  <si>
    <t>Screw - CSK - Self Tap - M2 x 4mm</t>
  </si>
  <si>
    <t>SCR-0260025</t>
  </si>
  <si>
    <t>Screw - CSK - Self Tap - M3 x 6mm</t>
  </si>
  <si>
    <t>SCR-0260026</t>
  </si>
  <si>
    <t>Screw - CSK - Self Tap - M2 x 6mm</t>
  </si>
  <si>
    <t>SCR-0260027</t>
  </si>
  <si>
    <t>Screw - CSK - Self Tap - M3 x 25mm (POP)</t>
  </si>
  <si>
    <t>SCR-0260028</t>
  </si>
  <si>
    <t>Screw - Button Head - Self Tap - 2.5mm</t>
  </si>
  <si>
    <t>SCR-0260029</t>
  </si>
  <si>
    <t>Screw - CSK - M2.5 x 4mm</t>
  </si>
  <si>
    <t>SCR-0260030</t>
  </si>
  <si>
    <t>Screw - CSK - M2.5 x 6mm</t>
  </si>
  <si>
    <t>SCR-0260031</t>
  </si>
  <si>
    <t>Screw - CSK - M2.5 x 8mm</t>
  </si>
  <si>
    <t>SCR-0260032</t>
  </si>
  <si>
    <t>Screw - Pan Head - M4 x 6mm</t>
  </si>
  <si>
    <t>SCR-0260033</t>
  </si>
  <si>
    <t>Screw - CSK - M4 x 6mm</t>
  </si>
  <si>
    <t>SCR-0260034</t>
  </si>
  <si>
    <t>Screw - Pan Head - M4 x 8mm</t>
  </si>
  <si>
    <t>SCR-0260035</t>
  </si>
  <si>
    <t>Screw - CSK - M2 x 15mm</t>
  </si>
  <si>
    <t>SPC-0280001</t>
  </si>
  <si>
    <t>Spacer - Female to Female - M2 x 12mm</t>
  </si>
  <si>
    <t>SPC-0280002</t>
  </si>
  <si>
    <t>Spacer - Female to Female - M2 x 15mm</t>
  </si>
  <si>
    <t>SPC-0280003</t>
  </si>
  <si>
    <t>Spacer - Female to Female - M2 x 8mm</t>
  </si>
  <si>
    <t>SPC-0280004</t>
  </si>
  <si>
    <t>Spacer - Female to Female - M3 x 10mm</t>
  </si>
  <si>
    <t>SPC-0280005</t>
  </si>
  <si>
    <t>Spacer - Female to Female - M3 x 12mm</t>
  </si>
  <si>
    <t>SPC-0280006</t>
  </si>
  <si>
    <t>Spacer - Female to Female - M2 x 6mm</t>
  </si>
  <si>
    <t>SPC-0280007</t>
  </si>
  <si>
    <t>Spacer - Female to Female - M4 x 10mm</t>
  </si>
  <si>
    <t>CON-0320001</t>
  </si>
  <si>
    <t>Black Wire 0.5 sq. mm</t>
  </si>
  <si>
    <t>CON-0320002</t>
  </si>
  <si>
    <t>Red Wire 0.5 sq. mm</t>
  </si>
  <si>
    <t>CON-0320003</t>
  </si>
  <si>
    <t>HST Sleeve 2mm</t>
  </si>
  <si>
    <t>CON-0320004</t>
  </si>
  <si>
    <t>HST Sleeve 10mm</t>
  </si>
  <si>
    <t>CON-0320005</t>
  </si>
  <si>
    <t>3M Tape</t>
  </si>
  <si>
    <t>CON-0320006</t>
  </si>
  <si>
    <t>Cable Tie - 3.6 x 200mm</t>
  </si>
  <si>
    <t>CON-0320007</t>
  </si>
  <si>
    <t>Double Side Tape (Green)</t>
  </si>
  <si>
    <t>CON-0320008</t>
  </si>
  <si>
    <t>Insulation Tape</t>
  </si>
  <si>
    <t>CON-0320009</t>
  </si>
  <si>
    <t>Anabond</t>
  </si>
  <si>
    <t>CON-0320010</t>
  </si>
  <si>
    <t>Araldite - Clear - 5 min</t>
  </si>
  <si>
    <t>CON-0320011</t>
  </si>
  <si>
    <t>Araldite - Standard - 45 min</t>
  </si>
  <si>
    <t>CON-0320012</t>
  </si>
  <si>
    <t>Glue Stick</t>
  </si>
  <si>
    <t>CON-0320013</t>
  </si>
  <si>
    <t>Brown / Packing Tape 72mm (200m)</t>
  </si>
  <si>
    <t>CON-0320014</t>
  </si>
  <si>
    <t>BergStik - Female Double Row (TH)</t>
  </si>
  <si>
    <t>BergStik - male Double Row (TH) -4nOS</t>
  </si>
  <si>
    <t>CON-0320015</t>
  </si>
  <si>
    <t>BergStik - Female Single Row (TH) - 4NOS</t>
  </si>
  <si>
    <t>CON-0320016</t>
  </si>
  <si>
    <t>BergStik - 40 Pin (Male) - Single Row (TH) - 140</t>
  </si>
  <si>
    <t>BergStik - 40 Pin (Male) - Single Row (TH) -  Right angle - 12</t>
  </si>
  <si>
    <t>RJ45 Conneector -98</t>
  </si>
  <si>
    <t>CON-0320021</t>
  </si>
  <si>
    <t>Isopropyl Alcohol - IPA (5 litre)</t>
  </si>
  <si>
    <t>CON-0320022</t>
  </si>
  <si>
    <t>Multi Strand Wire - 4 Colours</t>
  </si>
  <si>
    <t>CON-0320023</t>
  </si>
  <si>
    <t>Soldering Flux Liquid - 500 ml</t>
  </si>
  <si>
    <t>CON-0320024</t>
  </si>
  <si>
    <t>Soldering Flux Paste</t>
  </si>
  <si>
    <t>CON-0320025</t>
  </si>
  <si>
    <t>Soldering Lead - Bar</t>
  </si>
  <si>
    <t>CON-0320026</t>
  </si>
  <si>
    <t>Soldering Sponge</t>
  </si>
  <si>
    <t>CON-0320027</t>
  </si>
  <si>
    <t xml:space="preserve">Soldering Wire - 500 gms </t>
  </si>
  <si>
    <t>CON-0320028</t>
  </si>
  <si>
    <t>Wooden Gatta</t>
  </si>
  <si>
    <t>CON-0320029</t>
  </si>
  <si>
    <t>Wrapper Roll - Big</t>
  </si>
  <si>
    <t>CON-0320030</t>
  </si>
  <si>
    <t>Wrapper Roll - Small</t>
  </si>
  <si>
    <t>CON-0320031</t>
  </si>
  <si>
    <t>Thermal Paper Roll - 80 mm</t>
  </si>
  <si>
    <t>CON-0320032</t>
  </si>
  <si>
    <t>Single Strand Wire - Copper</t>
  </si>
  <si>
    <t>CON-0320033</t>
  </si>
  <si>
    <t>HST Sleeve 3mm</t>
  </si>
  <si>
    <t>CON-0320034</t>
  </si>
  <si>
    <t>1.5 Sq mm Wire (Coil)</t>
  </si>
  <si>
    <t>CON-0320035</t>
  </si>
  <si>
    <t>Conformal Coating</t>
  </si>
  <si>
    <t>CON-0320036</t>
  </si>
  <si>
    <t>HST Sleeve 1mm</t>
  </si>
  <si>
    <t>CON-0320037</t>
  </si>
  <si>
    <t>RJ45  Socket - Right Angle (Metal)</t>
  </si>
  <si>
    <t>CON-0320038</t>
  </si>
  <si>
    <t>RJ45 Jack - Striaght Angle (Plastic)</t>
  </si>
  <si>
    <t>CON-0320039</t>
  </si>
  <si>
    <t>BergStik - 40 Pin (Female) - Double Row (TH)</t>
  </si>
  <si>
    <t>TLS-0950001</t>
  </si>
  <si>
    <t>Crimping Tool (RJ45)</t>
  </si>
  <si>
    <t>TLS-0950002</t>
  </si>
  <si>
    <t>Screw Driver</t>
  </si>
  <si>
    <t>TLS-0950003</t>
  </si>
  <si>
    <t>Soldering Bit</t>
  </si>
  <si>
    <t>TLS-0950004</t>
  </si>
  <si>
    <t>Tweezer</t>
  </si>
  <si>
    <t>TLS-0950005</t>
  </si>
  <si>
    <t>Cutter - Stainless Steel</t>
  </si>
  <si>
    <t>TLS-0950006</t>
  </si>
  <si>
    <t>Cutter - Heavy Duty</t>
  </si>
  <si>
    <t>TLS-0950007</t>
  </si>
  <si>
    <t>Wire Stripper - Multitec</t>
  </si>
  <si>
    <t>TLS-0950008</t>
  </si>
  <si>
    <t>Paper Cutter</t>
  </si>
  <si>
    <t>TLS-0950009</t>
  </si>
  <si>
    <t>7in1 all purpose Crimping Tool</t>
  </si>
  <si>
    <t>NUT-0270001</t>
  </si>
  <si>
    <t>Nut - M2.5</t>
  </si>
  <si>
    <t>NUT-0270002</t>
  </si>
  <si>
    <t xml:space="preserve">Nut - M3 </t>
  </si>
  <si>
    <t>G4</t>
  </si>
  <si>
    <t>G5</t>
  </si>
  <si>
    <t>Opening Stock</t>
  </si>
  <si>
    <t>RJ45 Conneector</t>
  </si>
  <si>
    <t>Closing Stock</t>
  </si>
  <si>
    <t>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</si>
</sst>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1" fontId="13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top"/>
    </xf>
    <xf numFmtId="0" fontId="5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" fontId="3" fillId="0" borderId="14" xfId="0" applyNumberFormat="1" applyFont="1" applyBorder="1" applyAlignment="1">
      <alignment horizontal="center" wrapText="1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5" fillId="0" borderId="1" xfId="0" applyFont="1" applyBorder="1" applyAlignment="1">
      <alignment horizontal="center"/>
    </xf>
    <xf numFmtId="14" fontId="16" fillId="0" borderId="1" xfId="0" applyNumberFormat="1" applyFont="1" applyBorder="1"/>
    <xf numFmtId="0" fontId="17" fillId="0" borderId="1" xfId="0" applyFont="1" applyBorder="1" applyAlignment="1">
      <alignment horizontal="center"/>
    </xf>
    <xf numFmtId="1" fontId="13" fillId="3" borderId="14" xfId="0" applyNumberFormat="1" applyFont="1" applyFill="1" applyBorder="1" applyAlignment="1">
      <alignment horizontal="center" wrapText="1"/>
    </xf>
    <xf numFmtId="1" fontId="1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2"/>
  <sheetViews>
    <sheetView workbookViewId="0">
      <pane xSplit="3" ySplit="10" topLeftCell="Q82" activePane="bottomRight" state="frozen"/>
      <selection pane="topRight" activeCell="D1" sqref="D1"/>
      <selection pane="bottomLeft" activeCell="A11" sqref="A11"/>
      <selection pane="bottomRight" activeCell="AA88" sqref="AA88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9.85546875" style="2" customWidth="1"/>
    <col min="5" max="5" width="9.85546875" style="1" customWidth="1"/>
    <col min="6" max="6" width="9.5703125" style="1" customWidth="1"/>
    <col min="7" max="7" width="10.42578125" style="1" customWidth="1"/>
    <col min="8" max="8" width="9.140625" style="1" customWidth="1"/>
    <col min="9" max="9" width="9" style="1" bestFit="1" customWidth="1"/>
    <col min="10" max="10" width="9.42578125" style="1" customWidth="1"/>
    <col min="11" max="11" width="9" style="1" bestFit="1" customWidth="1"/>
    <col min="12" max="12" width="10.140625" style="1" customWidth="1"/>
    <col min="13" max="13" width="10.85546875" style="1" customWidth="1"/>
    <col min="14" max="16" width="9" style="1" bestFit="1" customWidth="1"/>
    <col min="17" max="17" width="10.140625" style="1" bestFit="1" customWidth="1"/>
    <col min="18" max="18" width="10.5703125" style="1" customWidth="1"/>
    <col min="19" max="20" width="10.140625" style="1" bestFit="1" customWidth="1"/>
    <col min="21" max="21" width="9.85546875" style="1" customWidth="1"/>
    <col min="22" max="25" width="10.140625" style="1" bestFit="1" customWidth="1"/>
    <col min="26" max="27" width="10.7109375" style="1" customWidth="1"/>
    <col min="28" max="28" width="10.28515625" style="1" customWidth="1"/>
    <col min="29" max="29" width="10.7109375" style="1" customWidth="1"/>
    <col min="30" max="30" width="11.7109375" style="1" customWidth="1"/>
    <col min="31" max="31" width="11" style="1" customWidth="1"/>
    <col min="32" max="32" width="10.7109375" style="1" customWidth="1"/>
    <col min="33" max="33" width="10.5703125" style="1" customWidth="1"/>
    <col min="34" max="35" width="11.5703125" style="1" customWidth="1"/>
    <col min="36" max="36" width="10.85546875" style="1" customWidth="1"/>
    <col min="37" max="37" width="9.85546875" style="1" customWidth="1"/>
    <col min="38" max="16384" width="16.85546875" style="1"/>
  </cols>
  <sheetData>
    <row r="1" spans="1:43" customFormat="1" ht="23.45" customHeight="1" x14ac:dyDescent="0.25">
      <c r="E1" s="37" t="s">
        <v>29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43" customFormat="1" ht="15" x14ac:dyDescent="0.25">
      <c r="E2" s="38" t="s">
        <v>30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43" customFormat="1" ht="15.75" x14ac:dyDescent="0.25">
      <c r="E3" s="41" t="s">
        <v>0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43" customFormat="1" ht="15" x14ac:dyDescent="0.25">
      <c r="E4" s="42" t="s">
        <v>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43" customFormat="1" ht="15.75" x14ac:dyDescent="0.25">
      <c r="E5" s="43" t="s">
        <v>2</v>
      </c>
      <c r="F5" s="43"/>
      <c r="G5" s="43"/>
      <c r="H5" s="44" t="s">
        <v>3</v>
      </c>
      <c r="I5" s="45"/>
      <c r="J5" s="46"/>
      <c r="K5" s="47" t="s">
        <v>4</v>
      </c>
      <c r="L5" s="47"/>
      <c r="M5" s="11">
        <v>0</v>
      </c>
      <c r="N5" s="48" t="s">
        <v>5</v>
      </c>
      <c r="O5" s="48"/>
      <c r="P5" s="49"/>
      <c r="Q5" s="50"/>
    </row>
    <row r="6" spans="1:43" customFormat="1" ht="15.75" x14ac:dyDescent="0.25">
      <c r="E6" s="43" t="s">
        <v>6</v>
      </c>
      <c r="F6" s="43"/>
      <c r="G6" s="43"/>
      <c r="H6" s="51" t="s">
        <v>7</v>
      </c>
      <c r="I6" s="51"/>
      <c r="J6" s="51"/>
      <c r="K6" s="47" t="s">
        <v>8</v>
      </c>
      <c r="L6" s="47"/>
      <c r="M6" s="52" t="s">
        <v>9</v>
      </c>
      <c r="N6" s="52"/>
      <c r="O6" s="52"/>
      <c r="P6" s="52"/>
      <c r="Q6" s="52"/>
    </row>
    <row r="7" spans="1:43" customFormat="1" ht="15.75" x14ac:dyDescent="0.25">
      <c r="E7" s="47" t="s">
        <v>10</v>
      </c>
      <c r="F7" s="47"/>
      <c r="G7" s="47"/>
      <c r="H7" s="53"/>
      <c r="I7" s="53"/>
      <c r="J7" s="53"/>
      <c r="K7" s="47" t="s">
        <v>11</v>
      </c>
      <c r="L7" s="47"/>
      <c r="M7" s="52"/>
      <c r="N7" s="52"/>
      <c r="O7" s="52"/>
      <c r="P7" s="52"/>
      <c r="Q7" s="52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205</v>
      </c>
      <c r="G10" s="32">
        <v>46023</v>
      </c>
      <c r="H10" s="32">
        <v>46024</v>
      </c>
      <c r="I10" s="32">
        <v>46025</v>
      </c>
      <c r="J10" s="32">
        <v>46026</v>
      </c>
      <c r="K10" s="32">
        <v>46027</v>
      </c>
      <c r="L10" s="32">
        <v>46028</v>
      </c>
      <c r="M10" s="32">
        <v>46029</v>
      </c>
      <c r="N10" s="32">
        <v>46030</v>
      </c>
      <c r="O10" s="32">
        <v>46031</v>
      </c>
      <c r="P10" s="32">
        <v>46032</v>
      </c>
      <c r="Q10" s="13">
        <v>46033</v>
      </c>
      <c r="R10" s="13">
        <v>46034</v>
      </c>
      <c r="S10" s="13">
        <v>46035</v>
      </c>
      <c r="T10" s="13">
        <v>46036</v>
      </c>
      <c r="U10" s="13">
        <v>46037</v>
      </c>
      <c r="V10" s="13">
        <v>46038</v>
      </c>
      <c r="W10" s="13">
        <v>46039</v>
      </c>
      <c r="X10" s="13">
        <v>46040</v>
      </c>
      <c r="Y10" s="13">
        <v>46041</v>
      </c>
      <c r="Z10" s="13">
        <v>46042</v>
      </c>
      <c r="AA10" s="13">
        <v>46043</v>
      </c>
      <c r="AB10" s="13">
        <v>46044</v>
      </c>
      <c r="AC10" s="13">
        <v>46045</v>
      </c>
      <c r="AD10" s="13">
        <v>46046</v>
      </c>
      <c r="AE10" s="13">
        <v>46047</v>
      </c>
      <c r="AF10" s="13">
        <v>46048</v>
      </c>
      <c r="AG10" s="13">
        <v>46049</v>
      </c>
      <c r="AH10" s="13">
        <v>46050</v>
      </c>
      <c r="AI10" s="13">
        <v>46051</v>
      </c>
      <c r="AJ10" s="13">
        <v>46052</v>
      </c>
      <c r="AK10" s="13">
        <v>46053</v>
      </c>
      <c r="AL10" s="12" t="s">
        <v>207</v>
      </c>
      <c r="AM10" s="3" t="s">
        <v>18</v>
      </c>
      <c r="AN10" s="3" t="s">
        <v>19</v>
      </c>
      <c r="AO10" s="3" t="s">
        <v>20</v>
      </c>
      <c r="AP10" s="14"/>
      <c r="AQ10" s="15"/>
    </row>
    <row r="11" spans="1:43" customFormat="1" ht="15" x14ac:dyDescent="0.25">
      <c r="A11" s="11" t="s">
        <v>31</v>
      </c>
      <c r="B11" s="20" t="s">
        <v>34</v>
      </c>
      <c r="C11" s="20" t="s">
        <v>35</v>
      </c>
      <c r="D11" s="11"/>
      <c r="E11" s="11"/>
      <c r="F11" s="33">
        <v>1405</v>
      </c>
      <c r="G11" s="25"/>
      <c r="H11" s="25">
        <v>-58</v>
      </c>
      <c r="I11" s="25">
        <v>-160</v>
      </c>
      <c r="J11" s="25">
        <v>-42</v>
      </c>
      <c r="K11" s="25"/>
      <c r="L11" s="25">
        <v>-58</v>
      </c>
      <c r="M11" s="25"/>
      <c r="N11" s="25"/>
      <c r="O11" s="25">
        <v>-12</v>
      </c>
      <c r="P11" s="25"/>
      <c r="Q11" s="25"/>
      <c r="R11" s="25">
        <v>-102</v>
      </c>
      <c r="S11" s="25"/>
      <c r="T11" s="25"/>
      <c r="U11" s="25"/>
      <c r="V11" s="25"/>
      <c r="W11" s="25"/>
      <c r="X11" s="25"/>
      <c r="Y11" s="25"/>
      <c r="Z11" s="25"/>
      <c r="AA11" s="25">
        <v>-6</v>
      </c>
      <c r="AB11" s="25"/>
      <c r="AC11" s="25">
        <v>-40</v>
      </c>
      <c r="AD11" s="25"/>
      <c r="AE11" s="25"/>
      <c r="AF11" s="25"/>
      <c r="AG11" s="25"/>
      <c r="AH11" s="25">
        <v>-22</v>
      </c>
      <c r="AI11" s="25">
        <f>-112+-12</f>
        <v>-124</v>
      </c>
      <c r="AJ11" s="25">
        <f>-138+-14</f>
        <v>-152</v>
      </c>
      <c r="AK11" s="25"/>
      <c r="AL11" s="34">
        <f>F11+SUM(G11:AK11)</f>
        <v>629</v>
      </c>
    </row>
    <row r="12" spans="1:43" customFormat="1" ht="15" x14ac:dyDescent="0.25">
      <c r="A12" s="11" t="s">
        <v>31</v>
      </c>
      <c r="B12" s="20" t="s">
        <v>36</v>
      </c>
      <c r="C12" s="20" t="s">
        <v>37</v>
      </c>
      <c r="D12" s="11"/>
      <c r="E12" s="11"/>
      <c r="F12" s="33">
        <v>503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34">
        <f t="shared" ref="AL12:AL75" si="0">F12+SUM(G12:AK12)</f>
        <v>503</v>
      </c>
    </row>
    <row r="13" spans="1:43" customFormat="1" ht="15" x14ac:dyDescent="0.25">
      <c r="A13" s="11" t="s">
        <v>31</v>
      </c>
      <c r="B13" s="20" t="s">
        <v>38</v>
      </c>
      <c r="C13" s="20" t="s">
        <v>39</v>
      </c>
      <c r="D13" s="11"/>
      <c r="E13" s="11"/>
      <c r="F13" s="33">
        <v>315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34">
        <f t="shared" si="0"/>
        <v>315</v>
      </c>
    </row>
    <row r="14" spans="1:43" customFormat="1" ht="15" x14ac:dyDescent="0.25">
      <c r="A14" s="11" t="s">
        <v>31</v>
      </c>
      <c r="B14" s="20" t="s">
        <v>40</v>
      </c>
      <c r="C14" s="20" t="s">
        <v>41</v>
      </c>
      <c r="D14" s="11"/>
      <c r="E14" s="11"/>
      <c r="F14" s="33">
        <v>447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>
        <v>-50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34">
        <f t="shared" si="0"/>
        <v>397</v>
      </c>
    </row>
    <row r="15" spans="1:43" customFormat="1" ht="15" x14ac:dyDescent="0.25">
      <c r="A15" s="11" t="s">
        <v>31</v>
      </c>
      <c r="B15" s="20" t="s">
        <v>42</v>
      </c>
      <c r="C15" s="20" t="s">
        <v>43</v>
      </c>
      <c r="D15" s="11"/>
      <c r="E15" s="11"/>
      <c r="F15" s="33">
        <v>550</v>
      </c>
      <c r="G15" s="25"/>
      <c r="H15" s="25"/>
      <c r="I15" s="25"/>
      <c r="J15" s="25"/>
      <c r="K15" s="25"/>
      <c r="L15" s="25"/>
      <c r="M15" s="25"/>
      <c r="N15" s="25">
        <v>-550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34">
        <f t="shared" si="0"/>
        <v>0</v>
      </c>
    </row>
    <row r="16" spans="1:43" customFormat="1" ht="15" x14ac:dyDescent="0.25">
      <c r="A16" s="11" t="s">
        <v>31</v>
      </c>
      <c r="B16" s="20" t="s">
        <v>44</v>
      </c>
      <c r="C16" s="20" t="s">
        <v>45</v>
      </c>
      <c r="D16" s="11"/>
      <c r="E16" s="11"/>
      <c r="F16" s="33">
        <v>279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34">
        <f t="shared" si="0"/>
        <v>279</v>
      </c>
    </row>
    <row r="17" spans="1:38" customFormat="1" ht="15" x14ac:dyDescent="0.25">
      <c r="A17" s="11" t="s">
        <v>31</v>
      </c>
      <c r="B17" s="20" t="s">
        <v>46</v>
      </c>
      <c r="C17" s="20" t="s">
        <v>47</v>
      </c>
      <c r="D17" s="11"/>
      <c r="E17" s="11"/>
      <c r="F17" s="33">
        <v>186</v>
      </c>
      <c r="G17" s="25"/>
      <c r="H17" s="25">
        <v>-150</v>
      </c>
      <c r="I17" s="25"/>
      <c r="J17" s="25"/>
      <c r="K17" s="25"/>
      <c r="L17" s="25"/>
      <c r="M17" s="31">
        <v>500</v>
      </c>
      <c r="N17" s="25"/>
      <c r="O17" s="25">
        <v>-3</v>
      </c>
      <c r="P17" s="25"/>
      <c r="Q17" s="25"/>
      <c r="R17" s="25"/>
      <c r="S17" s="25"/>
      <c r="T17" s="25"/>
      <c r="U17" s="25"/>
      <c r="V17" s="25">
        <v>-39</v>
      </c>
      <c r="W17" s="25">
        <f>-3+-3+-3</f>
        <v>-9</v>
      </c>
      <c r="X17" s="25"/>
      <c r="Y17" s="25"/>
      <c r="Z17" s="31">
        <v>500</v>
      </c>
      <c r="AA17" s="25">
        <f>-15+-36</f>
        <v>-51</v>
      </c>
      <c r="AB17" s="25">
        <v>-3</v>
      </c>
      <c r="AC17" s="25">
        <v>-75</v>
      </c>
      <c r="AD17" s="25"/>
      <c r="AE17" s="25"/>
      <c r="AF17" s="25"/>
      <c r="AG17" s="25"/>
      <c r="AH17" s="25"/>
      <c r="AI17" s="25">
        <v>-6</v>
      </c>
      <c r="AJ17" s="25"/>
      <c r="AK17" s="25"/>
      <c r="AL17" s="34">
        <f t="shared" si="0"/>
        <v>850</v>
      </c>
    </row>
    <row r="18" spans="1:38" customFormat="1" ht="15" x14ac:dyDescent="0.25">
      <c r="A18" s="11" t="s">
        <v>31</v>
      </c>
      <c r="B18" s="20" t="s">
        <v>48</v>
      </c>
      <c r="C18" s="20" t="s">
        <v>49</v>
      </c>
      <c r="D18" s="11"/>
      <c r="E18" s="11"/>
      <c r="F18" s="33">
        <v>1752</v>
      </c>
      <c r="G18" s="25"/>
      <c r="H18" s="25">
        <f>-58+-80+-100+-170</f>
        <v>-408</v>
      </c>
      <c r="I18" s="25">
        <v>-160</v>
      </c>
      <c r="J18" s="25"/>
      <c r="K18" s="25"/>
      <c r="L18" s="25">
        <v>-60</v>
      </c>
      <c r="M18" s="31">
        <v>1000</v>
      </c>
      <c r="N18" s="25">
        <f>-20+-42</f>
        <v>-62</v>
      </c>
      <c r="O18" s="25">
        <f>-120+-12</f>
        <v>-132</v>
      </c>
      <c r="P18" s="25"/>
      <c r="Q18" s="25"/>
      <c r="R18" s="25"/>
      <c r="S18" s="25">
        <f>-24+-102</f>
        <v>-126</v>
      </c>
      <c r="T18" s="25">
        <f>-95+-120</f>
        <v>-215</v>
      </c>
      <c r="U18" s="25"/>
      <c r="V18" s="25"/>
      <c r="W18" s="25">
        <f>-125+-70</f>
        <v>-195</v>
      </c>
      <c r="X18" s="25"/>
      <c r="Y18" s="25">
        <f>-111+-95</f>
        <v>-206</v>
      </c>
      <c r="Z18" s="31">
        <v>2000</v>
      </c>
      <c r="AA18" s="25">
        <f>-6+-425+-90</f>
        <v>-521</v>
      </c>
      <c r="AB18" s="25"/>
      <c r="AC18" s="25"/>
      <c r="AD18" s="25"/>
      <c r="AE18" s="25"/>
      <c r="AF18" s="25"/>
      <c r="AG18" s="25"/>
      <c r="AH18" s="25">
        <f>-22+-125</f>
        <v>-147</v>
      </c>
      <c r="AI18" s="25">
        <f>-112+-52+-50</f>
        <v>-214</v>
      </c>
      <c r="AJ18" s="25">
        <f>-138+-14+-70</f>
        <v>-222</v>
      </c>
      <c r="AK18" s="25">
        <f>-200+-20</f>
        <v>-220</v>
      </c>
      <c r="AL18" s="34">
        <f t="shared" si="0"/>
        <v>1864</v>
      </c>
    </row>
    <row r="19" spans="1:38" customFormat="1" ht="15" x14ac:dyDescent="0.25">
      <c r="A19" s="11" t="s">
        <v>31</v>
      </c>
      <c r="B19" s="20" t="s">
        <v>50</v>
      </c>
      <c r="C19" s="20" t="s">
        <v>51</v>
      </c>
      <c r="D19" s="11"/>
      <c r="E19" s="11"/>
      <c r="F19" s="33">
        <v>2072</v>
      </c>
      <c r="G19" s="25"/>
      <c r="H19" s="25"/>
      <c r="I19" s="25"/>
      <c r="J19" s="25"/>
      <c r="K19" s="25"/>
      <c r="L19" s="25"/>
      <c r="M19" s="25"/>
      <c r="N19" s="25">
        <f>-336+-16</f>
        <v>-352</v>
      </c>
      <c r="O19" s="25">
        <v>-60</v>
      </c>
      <c r="P19" s="25"/>
      <c r="Q19" s="25"/>
      <c r="R19" s="25"/>
      <c r="S19" s="25">
        <v>-48</v>
      </c>
      <c r="T19" s="25"/>
      <c r="U19" s="25"/>
      <c r="V19" s="25">
        <v>-56</v>
      </c>
      <c r="W19" s="25"/>
      <c r="X19" s="25"/>
      <c r="Y19" s="25"/>
      <c r="Z19" s="25"/>
      <c r="AA19" s="25">
        <f>-20+-52</f>
        <v>-72</v>
      </c>
      <c r="AB19" s="25">
        <v>-25</v>
      </c>
      <c r="AC19" s="25">
        <v>-80</v>
      </c>
      <c r="AD19" s="25"/>
      <c r="AE19" s="25"/>
      <c r="AF19" s="25"/>
      <c r="AG19" s="25"/>
      <c r="AH19" s="25"/>
      <c r="AI19" s="25"/>
      <c r="AJ19" s="25"/>
      <c r="AK19" s="25"/>
      <c r="AL19" s="34">
        <f t="shared" si="0"/>
        <v>1379</v>
      </c>
    </row>
    <row r="20" spans="1:38" customFormat="1" ht="15" x14ac:dyDescent="0.25">
      <c r="A20" s="11" t="s">
        <v>31</v>
      </c>
      <c r="B20" s="20" t="s">
        <v>52</v>
      </c>
      <c r="C20" s="20" t="s">
        <v>53</v>
      </c>
      <c r="D20" s="11"/>
      <c r="E20" s="11"/>
      <c r="F20" s="33">
        <v>125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34">
        <f t="shared" si="0"/>
        <v>125</v>
      </c>
    </row>
    <row r="21" spans="1:38" customFormat="1" ht="15" x14ac:dyDescent="0.25">
      <c r="A21" s="11" t="s">
        <v>31</v>
      </c>
      <c r="B21" s="20" t="s">
        <v>54</v>
      </c>
      <c r="C21" s="20" t="s">
        <v>55</v>
      </c>
      <c r="D21" s="11"/>
      <c r="E21" s="11"/>
      <c r="F21" s="33">
        <v>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34">
        <f t="shared" si="0"/>
        <v>0</v>
      </c>
    </row>
    <row r="22" spans="1:38" customFormat="1" ht="15" x14ac:dyDescent="0.25">
      <c r="A22" s="11" t="s">
        <v>31</v>
      </c>
      <c r="B22" s="20" t="s">
        <v>56</v>
      </c>
      <c r="C22" s="20" t="s">
        <v>57</v>
      </c>
      <c r="D22" s="11"/>
      <c r="E22" s="11"/>
      <c r="F22" s="33">
        <v>272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4">
        <f t="shared" si="0"/>
        <v>272</v>
      </c>
    </row>
    <row r="23" spans="1:38" customFormat="1" ht="15" x14ac:dyDescent="0.25">
      <c r="A23" s="11" t="s">
        <v>31</v>
      </c>
      <c r="B23" s="20" t="s">
        <v>58</v>
      </c>
      <c r="C23" s="20" t="s">
        <v>59</v>
      </c>
      <c r="D23" s="11"/>
      <c r="E23" s="11"/>
      <c r="F23" s="33">
        <v>1099</v>
      </c>
      <c r="G23" s="25"/>
      <c r="H23" s="25">
        <v>-24</v>
      </c>
      <c r="I23" s="25">
        <v>-2</v>
      </c>
      <c r="J23" s="25">
        <v>-8</v>
      </c>
      <c r="K23" s="25"/>
      <c r="L23" s="25"/>
      <c r="M23" s="25"/>
      <c r="N23" s="25">
        <v>-74</v>
      </c>
      <c r="O23" s="25">
        <f>-12+-2</f>
        <v>-14</v>
      </c>
      <c r="P23" s="25"/>
      <c r="Q23" s="25"/>
      <c r="R23" s="25">
        <v>-112</v>
      </c>
      <c r="S23" s="25">
        <v>-24</v>
      </c>
      <c r="T23" s="25"/>
      <c r="U23" s="25"/>
      <c r="V23" s="25">
        <f>-26+-28</f>
        <v>-54</v>
      </c>
      <c r="W23" s="25">
        <f>-2+-2+-2</f>
        <v>-6</v>
      </c>
      <c r="X23" s="25"/>
      <c r="Y23" s="25"/>
      <c r="Z23" s="25"/>
      <c r="AA23" s="25">
        <v>-10</v>
      </c>
      <c r="AB23" s="25">
        <f>-2+-26</f>
        <v>-28</v>
      </c>
      <c r="AC23" s="25">
        <f>-40+-50</f>
        <v>-90</v>
      </c>
      <c r="AD23" s="25"/>
      <c r="AE23" s="25"/>
      <c r="AF23" s="25"/>
      <c r="AG23" s="25">
        <v>-70</v>
      </c>
      <c r="AH23" s="25"/>
      <c r="AI23" s="25"/>
      <c r="AJ23" s="25">
        <v>-14</v>
      </c>
      <c r="AK23" s="25"/>
      <c r="AL23" s="34">
        <f t="shared" si="0"/>
        <v>569</v>
      </c>
    </row>
    <row r="24" spans="1:38" customFormat="1" ht="15" x14ac:dyDescent="0.25">
      <c r="A24" s="11" t="s">
        <v>31</v>
      </c>
      <c r="B24" s="20" t="s">
        <v>60</v>
      </c>
      <c r="C24" s="20" t="s">
        <v>61</v>
      </c>
      <c r="D24" s="11"/>
      <c r="E24" s="11"/>
      <c r="F24" s="33">
        <v>0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34">
        <f t="shared" si="0"/>
        <v>0</v>
      </c>
    </row>
    <row r="25" spans="1:38" customFormat="1" ht="15" x14ac:dyDescent="0.25">
      <c r="A25" s="11" t="s">
        <v>31</v>
      </c>
      <c r="B25" s="20" t="s">
        <v>62</v>
      </c>
      <c r="C25" s="20" t="s">
        <v>63</v>
      </c>
      <c r="D25" s="11"/>
      <c r="E25" s="11"/>
      <c r="F25" s="33">
        <v>912</v>
      </c>
      <c r="G25" s="25"/>
      <c r="H25" s="25">
        <v>-216</v>
      </c>
      <c r="I25" s="25">
        <v>-9</v>
      </c>
      <c r="J25" s="25"/>
      <c r="K25" s="25">
        <v>-210</v>
      </c>
      <c r="L25" s="25">
        <v>-12</v>
      </c>
      <c r="M25" s="31">
        <v>500</v>
      </c>
      <c r="N25" s="25">
        <v>-200</v>
      </c>
      <c r="O25" s="25">
        <v>-9</v>
      </c>
      <c r="P25" s="25"/>
      <c r="Q25" s="25"/>
      <c r="R25" s="25">
        <v>-105</v>
      </c>
      <c r="S25" s="25"/>
      <c r="T25" s="25"/>
      <c r="U25" s="25"/>
      <c r="V25" s="25"/>
      <c r="W25" s="25"/>
      <c r="X25" s="25"/>
      <c r="Y25" s="25"/>
      <c r="Z25" s="31">
        <v>1000</v>
      </c>
      <c r="AA25" s="25">
        <v>-45</v>
      </c>
      <c r="AB25" s="25">
        <v>-9</v>
      </c>
      <c r="AC25" s="25">
        <v>-225</v>
      </c>
      <c r="AD25" s="25"/>
      <c r="AE25" s="25"/>
      <c r="AF25" s="25"/>
      <c r="AG25" s="25"/>
      <c r="AH25" s="25"/>
      <c r="AI25" s="25"/>
      <c r="AJ25" s="25"/>
      <c r="AK25" s="25"/>
      <c r="AL25" s="34">
        <f t="shared" si="0"/>
        <v>1372</v>
      </c>
    </row>
    <row r="26" spans="1:38" customFormat="1" ht="15" x14ac:dyDescent="0.25">
      <c r="A26" s="11" t="s">
        <v>31</v>
      </c>
      <c r="B26" s="20" t="s">
        <v>64</v>
      </c>
      <c r="C26" s="20" t="s">
        <v>65</v>
      </c>
      <c r="D26" s="11"/>
      <c r="E26" s="11"/>
      <c r="F26" s="33">
        <v>1061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34">
        <f t="shared" si="0"/>
        <v>1061</v>
      </c>
    </row>
    <row r="27" spans="1:38" customFormat="1" ht="15" x14ac:dyDescent="0.25">
      <c r="A27" s="11" t="s">
        <v>31</v>
      </c>
      <c r="B27" s="20" t="s">
        <v>66</v>
      </c>
      <c r="C27" s="20" t="s">
        <v>67</v>
      </c>
      <c r="D27" s="11"/>
      <c r="E27" s="11"/>
      <c r="F27" s="33">
        <v>908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34">
        <f t="shared" si="0"/>
        <v>908</v>
      </c>
    </row>
    <row r="28" spans="1:38" customFormat="1" ht="15" x14ac:dyDescent="0.25">
      <c r="A28" s="11" t="s">
        <v>31</v>
      </c>
      <c r="B28" s="20" t="s">
        <v>68</v>
      </c>
      <c r="C28" s="20" t="s">
        <v>69</v>
      </c>
      <c r="D28" s="11"/>
      <c r="E28" s="11"/>
      <c r="F28" s="33">
        <v>493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34">
        <f t="shared" si="0"/>
        <v>493</v>
      </c>
    </row>
    <row r="29" spans="1:38" customFormat="1" ht="15" x14ac:dyDescent="0.25">
      <c r="A29" s="11" t="s">
        <v>31</v>
      </c>
      <c r="B29" s="20" t="s">
        <v>70</v>
      </c>
      <c r="C29" s="20" t="s">
        <v>71</v>
      </c>
      <c r="D29" s="11"/>
      <c r="E29" s="11"/>
      <c r="F29" s="33">
        <f>1791+49+326</f>
        <v>2166</v>
      </c>
      <c r="G29" s="25"/>
      <c r="H29" s="25">
        <f>-48+-58</f>
        <v>-106</v>
      </c>
      <c r="I29" s="25">
        <v>-160</v>
      </c>
      <c r="J29" s="25">
        <f>-16+-42</f>
        <v>-58</v>
      </c>
      <c r="K29" s="25"/>
      <c r="L29" s="25">
        <v>-58</v>
      </c>
      <c r="M29" s="25"/>
      <c r="N29" s="25">
        <v>-148</v>
      </c>
      <c r="O29" s="25">
        <f>-24+-24+-12</f>
        <v>-60</v>
      </c>
      <c r="P29" s="25"/>
      <c r="Q29" s="25"/>
      <c r="R29" s="25">
        <f>-284+-102</f>
        <v>-386</v>
      </c>
      <c r="S29" s="25">
        <f>-48+-48+-240</f>
        <v>-336</v>
      </c>
      <c r="T29" s="25"/>
      <c r="U29" s="25"/>
      <c r="V29" s="25">
        <v>-56</v>
      </c>
      <c r="W29" s="25"/>
      <c r="X29" s="25"/>
      <c r="Y29" s="25">
        <f>-148+-120</f>
        <v>-268</v>
      </c>
      <c r="Z29" s="31">
        <v>2000</v>
      </c>
      <c r="AA29" s="25">
        <v>-6</v>
      </c>
      <c r="AB29" s="25">
        <f>-52+-48</f>
        <v>-100</v>
      </c>
      <c r="AC29" s="25">
        <f>-80+-80</f>
        <v>-160</v>
      </c>
      <c r="AD29" s="25"/>
      <c r="AE29" s="25"/>
      <c r="AF29" s="25"/>
      <c r="AG29" s="25"/>
      <c r="AH29" s="25">
        <f>-22+-40</f>
        <v>-62</v>
      </c>
      <c r="AI29" s="25">
        <f>-112+-52</f>
        <v>-164</v>
      </c>
      <c r="AJ29" s="25">
        <f>-138+-14+-28</f>
        <v>-180</v>
      </c>
      <c r="AK29" s="25"/>
      <c r="AL29" s="34">
        <f t="shared" si="0"/>
        <v>1858</v>
      </c>
    </row>
    <row r="30" spans="1:38" customFormat="1" ht="15" x14ac:dyDescent="0.25">
      <c r="A30" s="11" t="s">
        <v>31</v>
      </c>
      <c r="B30" s="20" t="s">
        <v>72</v>
      </c>
      <c r="C30" s="20" t="s">
        <v>73</v>
      </c>
      <c r="D30" s="11"/>
      <c r="E30" s="11"/>
      <c r="F30" s="33">
        <v>1290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34">
        <f t="shared" si="0"/>
        <v>1290</v>
      </c>
    </row>
    <row r="31" spans="1:38" customFormat="1" ht="15" x14ac:dyDescent="0.25">
      <c r="A31" s="11" t="s">
        <v>31</v>
      </c>
      <c r="B31" s="20" t="s">
        <v>74</v>
      </c>
      <c r="C31" s="20" t="s">
        <v>75</v>
      </c>
      <c r="D31" s="11"/>
      <c r="E31" s="11"/>
      <c r="F31" s="33">
        <v>1910</v>
      </c>
      <c r="G31" s="25"/>
      <c r="H31" s="25"/>
      <c r="I31" s="25">
        <v>-320</v>
      </c>
      <c r="J31" s="25"/>
      <c r="K31" s="25"/>
      <c r="L31" s="25">
        <v>-84</v>
      </c>
      <c r="M31" s="25"/>
      <c r="N31" s="25">
        <v>-18</v>
      </c>
      <c r="O31" s="25">
        <v>-24</v>
      </c>
      <c r="P31" s="25"/>
      <c r="Q31" s="25"/>
      <c r="R31" s="25"/>
      <c r="S31" s="25">
        <f>-48+-204</f>
        <v>-252</v>
      </c>
      <c r="T31" s="25"/>
      <c r="U31" s="25"/>
      <c r="V31" s="25"/>
      <c r="W31" s="25"/>
      <c r="X31" s="25"/>
      <c r="Y31" s="25">
        <v>-180</v>
      </c>
      <c r="Z31" s="31">
        <v>2000</v>
      </c>
      <c r="AA31" s="25">
        <v>-12</v>
      </c>
      <c r="AB31" s="25"/>
      <c r="AC31" s="25"/>
      <c r="AD31" s="25"/>
      <c r="AE31" s="25"/>
      <c r="AF31" s="25"/>
      <c r="AG31" s="25"/>
      <c r="AH31" s="25">
        <v>-44</v>
      </c>
      <c r="AI31" s="25">
        <f>-224+-104</f>
        <v>-328</v>
      </c>
      <c r="AJ31" s="25">
        <f>-276+-28</f>
        <v>-304</v>
      </c>
      <c r="AK31" s="25"/>
      <c r="AL31" s="34">
        <f t="shared" si="0"/>
        <v>2344</v>
      </c>
    </row>
    <row r="32" spans="1:38" customFormat="1" ht="15" x14ac:dyDescent="0.25">
      <c r="A32" s="11" t="s">
        <v>31</v>
      </c>
      <c r="B32" s="20" t="s">
        <v>76</v>
      </c>
      <c r="C32" s="20" t="s">
        <v>77</v>
      </c>
      <c r="D32" s="11"/>
      <c r="E32" s="11"/>
      <c r="F32" s="33">
        <v>1309</v>
      </c>
      <c r="G32" s="25"/>
      <c r="H32" s="25">
        <f>-80+-100</f>
        <v>-180</v>
      </c>
      <c r="I32" s="25"/>
      <c r="J32" s="25"/>
      <c r="K32" s="25"/>
      <c r="L32" s="25">
        <v>-60</v>
      </c>
      <c r="M32" s="31">
        <v>1000</v>
      </c>
      <c r="N32" s="25">
        <v>-20</v>
      </c>
      <c r="O32" s="25">
        <v>-120</v>
      </c>
      <c r="P32" s="25"/>
      <c r="Q32" s="25"/>
      <c r="R32" s="25"/>
      <c r="S32" s="25"/>
      <c r="T32" s="25">
        <f>-95+-120</f>
        <v>-215</v>
      </c>
      <c r="U32" s="25"/>
      <c r="V32" s="25"/>
      <c r="W32" s="25">
        <f>-125+-70</f>
        <v>-195</v>
      </c>
      <c r="X32" s="25"/>
      <c r="Y32" s="25">
        <v>-95</v>
      </c>
      <c r="Z32" s="31">
        <v>2000</v>
      </c>
      <c r="AA32" s="25">
        <f>-425+-90</f>
        <v>-515</v>
      </c>
      <c r="AB32" s="25">
        <v>-100</v>
      </c>
      <c r="AC32" s="25"/>
      <c r="AD32" s="25"/>
      <c r="AE32" s="25"/>
      <c r="AF32" s="25"/>
      <c r="AG32" s="25"/>
      <c r="AH32" s="25">
        <v>-125</v>
      </c>
      <c r="AI32" s="25">
        <v>-50</v>
      </c>
      <c r="AJ32" s="25">
        <v>-70</v>
      </c>
      <c r="AK32" s="25">
        <f>-200+-20</f>
        <v>-220</v>
      </c>
      <c r="AL32" s="34">
        <f t="shared" si="0"/>
        <v>2344</v>
      </c>
    </row>
    <row r="33" spans="1:38" customFormat="1" ht="15" x14ac:dyDescent="0.25">
      <c r="A33" s="11" t="s">
        <v>31</v>
      </c>
      <c r="B33" s="20" t="s">
        <v>78</v>
      </c>
      <c r="C33" s="20" t="s">
        <v>79</v>
      </c>
      <c r="D33" s="11"/>
      <c r="E33" s="11"/>
      <c r="F33" s="33">
        <v>771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34">
        <f t="shared" si="0"/>
        <v>771</v>
      </c>
    </row>
    <row r="34" spans="1:38" customFormat="1" ht="15" x14ac:dyDescent="0.25">
      <c r="A34" s="11" t="s">
        <v>31</v>
      </c>
      <c r="B34" s="20" t="s">
        <v>80</v>
      </c>
      <c r="C34" s="20" t="s">
        <v>81</v>
      </c>
      <c r="D34" s="11"/>
      <c r="E34" s="11"/>
      <c r="F34" s="33">
        <v>204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34">
        <f t="shared" si="0"/>
        <v>204</v>
      </c>
    </row>
    <row r="35" spans="1:38" customFormat="1" ht="15" x14ac:dyDescent="0.25">
      <c r="A35" s="11" t="s">
        <v>31</v>
      </c>
      <c r="B35" s="20" t="s">
        <v>82</v>
      </c>
      <c r="C35" s="20" t="s">
        <v>83</v>
      </c>
      <c r="D35" s="11"/>
      <c r="E35" s="11"/>
      <c r="F35" s="33">
        <v>179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34">
        <f t="shared" si="0"/>
        <v>179</v>
      </c>
    </row>
    <row r="36" spans="1:38" customFormat="1" ht="15" x14ac:dyDescent="0.25">
      <c r="A36" s="11" t="s">
        <v>31</v>
      </c>
      <c r="B36" s="20" t="s">
        <v>84</v>
      </c>
      <c r="C36" s="20" t="s">
        <v>85</v>
      </c>
      <c r="D36" s="11"/>
      <c r="E36" s="11"/>
      <c r="F36" s="33">
        <v>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34">
        <f t="shared" si="0"/>
        <v>0</v>
      </c>
    </row>
    <row r="37" spans="1:38" customFormat="1" ht="15" x14ac:dyDescent="0.25">
      <c r="A37" s="11" t="s">
        <v>31</v>
      </c>
      <c r="B37" s="20" t="s">
        <v>86</v>
      </c>
      <c r="C37" s="20" t="s">
        <v>87</v>
      </c>
      <c r="D37" s="11"/>
      <c r="E37" s="11"/>
      <c r="F37" s="33">
        <v>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34">
        <f t="shared" si="0"/>
        <v>0</v>
      </c>
    </row>
    <row r="38" spans="1:38" customFormat="1" ht="15" x14ac:dyDescent="0.25">
      <c r="A38" s="11" t="s">
        <v>31</v>
      </c>
      <c r="B38" s="20" t="s">
        <v>88</v>
      </c>
      <c r="C38" s="20" t="s">
        <v>89</v>
      </c>
      <c r="D38" s="11"/>
      <c r="E38" s="11"/>
      <c r="F38" s="33">
        <v>139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31">
        <v>250</v>
      </c>
      <c r="W38" s="25">
        <v>-250</v>
      </c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34">
        <f t="shared" si="0"/>
        <v>139</v>
      </c>
    </row>
    <row r="39" spans="1:38" customFormat="1" ht="15" x14ac:dyDescent="0.25">
      <c r="A39" s="11" t="s">
        <v>31</v>
      </c>
      <c r="B39" s="20" t="s">
        <v>90</v>
      </c>
      <c r="C39" s="20" t="s">
        <v>91</v>
      </c>
      <c r="D39" s="11"/>
      <c r="E39" s="11"/>
      <c r="F39" s="33">
        <v>100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34">
        <f t="shared" si="0"/>
        <v>100</v>
      </c>
    </row>
    <row r="40" spans="1:38" customFormat="1" ht="15" x14ac:dyDescent="0.25">
      <c r="A40" s="11" t="s">
        <v>31</v>
      </c>
      <c r="B40" s="20" t="s">
        <v>92</v>
      </c>
      <c r="C40" s="20" t="s">
        <v>93</v>
      </c>
      <c r="D40" s="11"/>
      <c r="E40" s="11"/>
      <c r="F40" s="33">
        <v>500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34">
        <f t="shared" si="0"/>
        <v>500</v>
      </c>
    </row>
    <row r="41" spans="1:38" customFormat="1" ht="15" x14ac:dyDescent="0.25">
      <c r="A41" s="11" t="s">
        <v>31</v>
      </c>
      <c r="B41" s="20" t="s">
        <v>94</v>
      </c>
      <c r="C41" s="20" t="s">
        <v>95</v>
      </c>
      <c r="D41" s="11"/>
      <c r="E41" s="11"/>
      <c r="F41" s="33">
        <v>26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34">
        <f t="shared" si="0"/>
        <v>26</v>
      </c>
    </row>
    <row r="42" spans="1:38" customFormat="1" ht="15" x14ac:dyDescent="0.25">
      <c r="A42" s="11" t="s">
        <v>31</v>
      </c>
      <c r="B42" s="20" t="s">
        <v>96</v>
      </c>
      <c r="C42" s="20" t="s">
        <v>97</v>
      </c>
      <c r="D42" s="11"/>
      <c r="E42" s="11"/>
      <c r="F42" s="33">
        <v>40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34">
        <f t="shared" si="0"/>
        <v>40</v>
      </c>
    </row>
    <row r="43" spans="1:38" customFormat="1" ht="15" x14ac:dyDescent="0.25">
      <c r="A43" s="11" t="s">
        <v>31</v>
      </c>
      <c r="B43" s="20" t="s">
        <v>98</v>
      </c>
      <c r="C43" s="20" t="s">
        <v>99</v>
      </c>
      <c r="D43" s="11"/>
      <c r="E43" s="11"/>
      <c r="F43" s="33">
        <v>96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34">
        <f t="shared" si="0"/>
        <v>96</v>
      </c>
    </row>
    <row r="44" spans="1:38" customFormat="1" ht="15" x14ac:dyDescent="0.25">
      <c r="A44" s="11" t="s">
        <v>31</v>
      </c>
      <c r="B44" s="20" t="s">
        <v>100</v>
      </c>
      <c r="C44" s="20" t="s">
        <v>101</v>
      </c>
      <c r="D44" s="11"/>
      <c r="E44" s="11"/>
      <c r="F44" s="33">
        <v>41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34">
        <f t="shared" si="0"/>
        <v>41</v>
      </c>
    </row>
    <row r="45" spans="1:38" customFormat="1" ht="15" x14ac:dyDescent="0.25">
      <c r="A45" s="11" t="s">
        <v>31</v>
      </c>
      <c r="B45" s="20" t="s">
        <v>102</v>
      </c>
      <c r="C45" s="20" t="s">
        <v>103</v>
      </c>
      <c r="D45" s="11"/>
      <c r="E45" s="11"/>
      <c r="F45" s="33">
        <v>163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34">
        <f t="shared" si="0"/>
        <v>163</v>
      </c>
    </row>
    <row r="46" spans="1:38" customFormat="1" ht="15" x14ac:dyDescent="0.25">
      <c r="A46" s="11" t="s">
        <v>31</v>
      </c>
      <c r="B46" s="20" t="s">
        <v>104</v>
      </c>
      <c r="C46" s="20" t="s">
        <v>105</v>
      </c>
      <c r="D46" s="11"/>
      <c r="E46" s="11"/>
      <c r="F46" s="33">
        <v>45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34">
        <f t="shared" si="0"/>
        <v>45</v>
      </c>
    </row>
    <row r="47" spans="1:38" customFormat="1" ht="15" x14ac:dyDescent="0.25">
      <c r="A47" s="11" t="s">
        <v>31</v>
      </c>
      <c r="B47" s="20" t="s">
        <v>106</v>
      </c>
      <c r="C47" s="20" t="s">
        <v>107</v>
      </c>
      <c r="D47" s="11"/>
      <c r="E47" s="11"/>
      <c r="F47" s="33">
        <v>322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34">
        <f t="shared" si="0"/>
        <v>322</v>
      </c>
    </row>
    <row r="48" spans="1:38" customFormat="1" ht="15" x14ac:dyDescent="0.25">
      <c r="A48" s="11" t="s">
        <v>203</v>
      </c>
      <c r="B48" s="20" t="s">
        <v>108</v>
      </c>
      <c r="C48" s="20" t="s">
        <v>109</v>
      </c>
      <c r="D48" s="11"/>
      <c r="E48" s="11"/>
      <c r="F48" s="33">
        <v>0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>
        <v>-1</v>
      </c>
      <c r="Z48" s="25"/>
      <c r="AA48" s="31">
        <v>2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34">
        <f t="shared" si="0"/>
        <v>1</v>
      </c>
    </row>
    <row r="49" spans="1:38" customFormat="1" ht="15" x14ac:dyDescent="0.25">
      <c r="A49" s="11" t="s">
        <v>203</v>
      </c>
      <c r="B49" s="20" t="s">
        <v>110</v>
      </c>
      <c r="C49" s="20" t="s">
        <v>111</v>
      </c>
      <c r="D49" s="11"/>
      <c r="E49" s="11"/>
      <c r="F49" s="33">
        <v>4</v>
      </c>
      <c r="G49" s="25"/>
      <c r="H49" s="25"/>
      <c r="I49" s="25"/>
      <c r="J49" s="25"/>
      <c r="K49" s="25"/>
      <c r="L49" s="25"/>
      <c r="M49" s="25"/>
      <c r="N49" s="25"/>
      <c r="O49" s="25">
        <v>-1</v>
      </c>
      <c r="P49" s="25"/>
      <c r="Q49" s="25"/>
      <c r="R49" s="25"/>
      <c r="S49" s="25"/>
      <c r="T49" s="25"/>
      <c r="U49" s="25"/>
      <c r="V49" s="25"/>
      <c r="W49" s="25"/>
      <c r="X49" s="25"/>
      <c r="Y49" s="1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34">
        <f t="shared" si="0"/>
        <v>3</v>
      </c>
    </row>
    <row r="50" spans="1:38" customFormat="1" ht="15" x14ac:dyDescent="0.25">
      <c r="A50" s="11" t="s">
        <v>32</v>
      </c>
      <c r="B50" s="20" t="s">
        <v>112</v>
      </c>
      <c r="C50" s="20" t="s">
        <v>113</v>
      </c>
      <c r="D50" s="11"/>
      <c r="E50" s="11"/>
      <c r="F50" s="33">
        <v>0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34">
        <f t="shared" si="0"/>
        <v>0</v>
      </c>
    </row>
    <row r="51" spans="1:38" customFormat="1" ht="15" x14ac:dyDescent="0.25">
      <c r="A51" s="11" t="s">
        <v>32</v>
      </c>
      <c r="B51" s="20" t="s">
        <v>114</v>
      </c>
      <c r="C51" s="20" t="s">
        <v>115</v>
      </c>
      <c r="D51" s="11"/>
      <c r="E51" s="11"/>
      <c r="F51" s="33">
        <v>0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34">
        <f t="shared" si="0"/>
        <v>0</v>
      </c>
    </row>
    <row r="52" spans="1:38" customFormat="1" ht="15" x14ac:dyDescent="0.25">
      <c r="A52" s="11" t="s">
        <v>203</v>
      </c>
      <c r="B52" s="20" t="s">
        <v>116</v>
      </c>
      <c r="C52" s="20" t="s">
        <v>117</v>
      </c>
      <c r="D52" s="11"/>
      <c r="E52" s="11"/>
      <c r="F52" s="33">
        <v>2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34">
        <f t="shared" si="0"/>
        <v>2</v>
      </c>
    </row>
    <row r="53" spans="1:38" customFormat="1" ht="15" x14ac:dyDescent="0.25">
      <c r="A53" s="11" t="s">
        <v>203</v>
      </c>
      <c r="B53" s="20" t="s">
        <v>118</v>
      </c>
      <c r="C53" s="20" t="s">
        <v>119</v>
      </c>
      <c r="D53" s="11"/>
      <c r="E53" s="11"/>
      <c r="F53" s="33">
        <v>0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34">
        <f t="shared" si="0"/>
        <v>0</v>
      </c>
    </row>
    <row r="54" spans="1:38" customFormat="1" ht="15" x14ac:dyDescent="0.25">
      <c r="A54" s="11" t="s">
        <v>203</v>
      </c>
      <c r="B54" s="20" t="s">
        <v>120</v>
      </c>
      <c r="C54" s="20" t="s">
        <v>121</v>
      </c>
      <c r="D54" s="11"/>
      <c r="E54" s="11"/>
      <c r="F54" s="33">
        <v>4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>
        <v>-3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34">
        <f t="shared" si="0"/>
        <v>1</v>
      </c>
    </row>
    <row r="55" spans="1:38" customFormat="1" ht="15" x14ac:dyDescent="0.25">
      <c r="A55" s="11" t="s">
        <v>203</v>
      </c>
      <c r="B55" s="20" t="s">
        <v>122</v>
      </c>
      <c r="C55" s="20" t="s">
        <v>123</v>
      </c>
      <c r="D55" s="11"/>
      <c r="E55" s="11"/>
      <c r="F55" s="33">
        <v>5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34">
        <f t="shared" si="0"/>
        <v>5</v>
      </c>
    </row>
    <row r="56" spans="1:38" customFormat="1" ht="15" x14ac:dyDescent="0.25">
      <c r="A56" s="11" t="s">
        <v>203</v>
      </c>
      <c r="B56" s="20" t="s">
        <v>124</v>
      </c>
      <c r="C56" s="20" t="s">
        <v>125</v>
      </c>
      <c r="D56" s="11"/>
      <c r="E56" s="11"/>
      <c r="F56" s="33">
        <v>1</v>
      </c>
      <c r="G56" s="25"/>
      <c r="H56" s="25"/>
      <c r="I56" s="25"/>
      <c r="J56" s="25"/>
      <c r="K56" s="25">
        <v>-1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34">
        <f t="shared" si="0"/>
        <v>0</v>
      </c>
    </row>
    <row r="57" spans="1:38" customFormat="1" ht="15" x14ac:dyDescent="0.25">
      <c r="A57" s="11"/>
      <c r="B57" s="20" t="s">
        <v>126</v>
      </c>
      <c r="C57" s="20" t="s">
        <v>127</v>
      </c>
      <c r="D57" s="11"/>
      <c r="E57" s="11"/>
      <c r="F57" s="33">
        <v>0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34">
        <f t="shared" si="0"/>
        <v>0</v>
      </c>
    </row>
    <row r="58" spans="1:38" customFormat="1" ht="15" x14ac:dyDescent="0.25">
      <c r="A58" s="11"/>
      <c r="B58" s="20" t="s">
        <v>128</v>
      </c>
      <c r="C58" s="20" t="s">
        <v>129</v>
      </c>
      <c r="D58" s="11"/>
      <c r="E58" s="11"/>
      <c r="F58" s="33">
        <v>0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34">
        <f t="shared" si="0"/>
        <v>0</v>
      </c>
    </row>
    <row r="59" spans="1:38" customFormat="1" ht="15" x14ac:dyDescent="0.25">
      <c r="A59" s="11" t="s">
        <v>203</v>
      </c>
      <c r="B59" s="20" t="s">
        <v>130</v>
      </c>
      <c r="C59" s="20" t="s">
        <v>131</v>
      </c>
      <c r="D59" s="11"/>
      <c r="E59" s="11"/>
      <c r="F59" s="33">
        <v>255</v>
      </c>
      <c r="G59" s="25"/>
      <c r="H59" s="25"/>
      <c r="I59" s="25">
        <v>-20</v>
      </c>
      <c r="J59" s="25"/>
      <c r="K59" s="25"/>
      <c r="L59" s="25"/>
      <c r="M59" s="25"/>
      <c r="N59" s="25">
        <v>-2</v>
      </c>
      <c r="O59" s="25"/>
      <c r="P59" s="25"/>
      <c r="Q59" s="25"/>
      <c r="R59" s="25"/>
      <c r="S59" s="25">
        <v>-10</v>
      </c>
      <c r="T59" s="25"/>
      <c r="U59" s="25"/>
      <c r="V59" s="25">
        <v>-10</v>
      </c>
      <c r="W59" s="25"/>
      <c r="X59" s="25"/>
      <c r="Y59" s="25"/>
      <c r="Z59" s="25">
        <v>-4</v>
      </c>
      <c r="AA59" s="25"/>
      <c r="AB59" s="25"/>
      <c r="AC59" s="25"/>
      <c r="AD59" s="25"/>
      <c r="AE59" s="25"/>
      <c r="AF59" s="25"/>
      <c r="AG59" s="25"/>
      <c r="AH59" s="25"/>
      <c r="AI59" s="25">
        <v>-20</v>
      </c>
      <c r="AJ59" s="25"/>
      <c r="AK59" s="25"/>
      <c r="AL59" s="34">
        <f t="shared" si="0"/>
        <v>189</v>
      </c>
    </row>
    <row r="60" spans="1:38" customFormat="1" ht="15" x14ac:dyDescent="0.25">
      <c r="A60" s="11"/>
      <c r="B60" s="20" t="s">
        <v>132</v>
      </c>
      <c r="C60" s="20" t="s">
        <v>133</v>
      </c>
      <c r="D60" s="11"/>
      <c r="E60" s="11"/>
      <c r="F60" s="33">
        <v>4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34">
        <f t="shared" si="0"/>
        <v>4</v>
      </c>
    </row>
    <row r="61" spans="1:38" customFormat="1" ht="15" x14ac:dyDescent="0.25">
      <c r="A61" s="11"/>
      <c r="B61" s="20" t="s">
        <v>134</v>
      </c>
      <c r="C61" s="20" t="s">
        <v>135</v>
      </c>
      <c r="D61" s="11"/>
      <c r="E61" s="11"/>
      <c r="F61" s="33">
        <v>3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>
        <v>-3</v>
      </c>
      <c r="AH61" s="25"/>
      <c r="AI61" s="25"/>
      <c r="AJ61" s="25"/>
      <c r="AK61" s="25"/>
      <c r="AL61" s="34">
        <f t="shared" si="0"/>
        <v>0</v>
      </c>
    </row>
    <row r="62" spans="1:38" customFormat="1" ht="15" x14ac:dyDescent="0.25">
      <c r="A62" s="11" t="s">
        <v>203</v>
      </c>
      <c r="B62" s="20"/>
      <c r="C62" s="20" t="s">
        <v>136</v>
      </c>
      <c r="D62" s="11"/>
      <c r="E62" s="11"/>
      <c r="F62" s="33">
        <v>4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34">
        <f t="shared" si="0"/>
        <v>4</v>
      </c>
    </row>
    <row r="63" spans="1:38" customFormat="1" ht="15" x14ac:dyDescent="0.25">
      <c r="A63" s="11" t="s">
        <v>203</v>
      </c>
      <c r="B63" s="20" t="s">
        <v>137</v>
      </c>
      <c r="C63" s="20" t="s">
        <v>138</v>
      </c>
      <c r="D63" s="11"/>
      <c r="E63" s="11"/>
      <c r="F63" s="33">
        <v>4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>
        <v>-3</v>
      </c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34">
        <f t="shared" si="0"/>
        <v>1</v>
      </c>
    </row>
    <row r="64" spans="1:38" customFormat="1" ht="15" x14ac:dyDescent="0.25">
      <c r="A64" s="11" t="s">
        <v>203</v>
      </c>
      <c r="B64" s="20" t="s">
        <v>139</v>
      </c>
      <c r="C64" s="20" t="s">
        <v>140</v>
      </c>
      <c r="D64" s="11"/>
      <c r="E64" s="11"/>
      <c r="F64" s="33">
        <v>140</v>
      </c>
      <c r="G64" s="25"/>
      <c r="H64" s="25"/>
      <c r="I64" s="25"/>
      <c r="J64" s="25"/>
      <c r="K64" s="25"/>
      <c r="L64" s="25"/>
      <c r="M64" s="25">
        <v>-30</v>
      </c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34">
        <f t="shared" si="0"/>
        <v>110</v>
      </c>
    </row>
    <row r="65" spans="1:38" customFormat="1" ht="15" x14ac:dyDescent="0.25">
      <c r="A65" s="11" t="s">
        <v>203</v>
      </c>
      <c r="B65" s="20"/>
      <c r="C65" s="20" t="s">
        <v>141</v>
      </c>
      <c r="D65" s="11"/>
      <c r="E65" s="11"/>
      <c r="F65" s="33">
        <v>12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34">
        <f t="shared" si="0"/>
        <v>12</v>
      </c>
    </row>
    <row r="66" spans="1:38" customFormat="1" ht="15" x14ac:dyDescent="0.25">
      <c r="A66" s="11" t="s">
        <v>203</v>
      </c>
      <c r="B66" s="20"/>
      <c r="C66" s="20" t="s">
        <v>206</v>
      </c>
      <c r="D66" s="11"/>
      <c r="E66" s="11"/>
      <c r="F66" s="33">
        <v>98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34">
        <f t="shared" si="0"/>
        <v>98</v>
      </c>
    </row>
    <row r="67" spans="1:38" customFormat="1" ht="15" x14ac:dyDescent="0.25">
      <c r="A67" s="11" t="s">
        <v>204</v>
      </c>
      <c r="B67" s="20" t="s">
        <v>143</v>
      </c>
      <c r="C67" s="20" t="s">
        <v>144</v>
      </c>
      <c r="D67" s="11"/>
      <c r="E67" s="11"/>
      <c r="F67" s="33">
        <v>1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34">
        <f t="shared" si="0"/>
        <v>1</v>
      </c>
    </row>
    <row r="68" spans="1:38" customFormat="1" ht="15" x14ac:dyDescent="0.25">
      <c r="A68" s="11" t="s">
        <v>203</v>
      </c>
      <c r="B68" s="20" t="s">
        <v>145</v>
      </c>
      <c r="C68" s="20" t="s">
        <v>146</v>
      </c>
      <c r="D68" s="11"/>
      <c r="E68" s="11"/>
      <c r="F68" s="33">
        <v>0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34">
        <f t="shared" si="0"/>
        <v>0</v>
      </c>
    </row>
    <row r="69" spans="1:38" customFormat="1" ht="15" x14ac:dyDescent="0.25">
      <c r="A69" s="11" t="s">
        <v>203</v>
      </c>
      <c r="B69" s="20" t="s">
        <v>147</v>
      </c>
      <c r="C69" s="20" t="s">
        <v>148</v>
      </c>
      <c r="D69" s="11"/>
      <c r="E69" s="11"/>
      <c r="F69" s="33">
        <v>0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31">
        <v>1</v>
      </c>
      <c r="AL69" s="34">
        <f t="shared" si="0"/>
        <v>1</v>
      </c>
    </row>
    <row r="70" spans="1:38" customFormat="1" ht="15" x14ac:dyDescent="0.25">
      <c r="A70" s="11" t="s">
        <v>203</v>
      </c>
      <c r="B70" s="20" t="s">
        <v>149</v>
      </c>
      <c r="C70" s="20" t="s">
        <v>150</v>
      </c>
      <c r="D70" s="11"/>
      <c r="E70" s="11"/>
      <c r="F70" s="33">
        <v>6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>
        <v>-1</v>
      </c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31">
        <v>5</v>
      </c>
      <c r="AL70" s="34">
        <f t="shared" si="0"/>
        <v>10</v>
      </c>
    </row>
    <row r="71" spans="1:38" customFormat="1" ht="15" x14ac:dyDescent="0.25">
      <c r="A71" s="11" t="s">
        <v>203</v>
      </c>
      <c r="B71" s="20" t="s">
        <v>151</v>
      </c>
      <c r="C71" s="20" t="s">
        <v>152</v>
      </c>
      <c r="D71" s="11"/>
      <c r="E71" s="11"/>
      <c r="F71" s="33">
        <v>2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34">
        <f t="shared" si="0"/>
        <v>2</v>
      </c>
    </row>
    <row r="72" spans="1:38" customFormat="1" ht="15" x14ac:dyDescent="0.25">
      <c r="A72" s="11" t="s">
        <v>203</v>
      </c>
      <c r="B72" s="20" t="s">
        <v>153</v>
      </c>
      <c r="C72" s="20" t="s">
        <v>154</v>
      </c>
      <c r="D72" s="11"/>
      <c r="E72" s="11"/>
      <c r="F72" s="33">
        <v>1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31">
        <v>5</v>
      </c>
      <c r="AB72" s="25"/>
      <c r="AC72" s="25"/>
      <c r="AD72" s="25"/>
      <c r="AE72" s="25"/>
      <c r="AF72" s="25"/>
      <c r="AG72" s="25">
        <v>-1</v>
      </c>
      <c r="AH72" s="25"/>
      <c r="AI72" s="25"/>
      <c r="AJ72" s="25"/>
      <c r="AK72" s="25"/>
      <c r="AL72" s="34">
        <f t="shared" si="0"/>
        <v>5</v>
      </c>
    </row>
    <row r="73" spans="1:38" customFormat="1" ht="15" x14ac:dyDescent="0.25">
      <c r="A73" s="11"/>
      <c r="B73" s="20" t="s">
        <v>155</v>
      </c>
      <c r="C73" s="20" t="s">
        <v>156</v>
      </c>
      <c r="D73" s="11"/>
      <c r="E73" s="11"/>
      <c r="F73" s="33">
        <v>4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>
        <v>-1</v>
      </c>
      <c r="U73" s="25"/>
      <c r="V73" s="25"/>
      <c r="W73" s="25"/>
      <c r="X73" s="25"/>
      <c r="Y73" s="25">
        <v>-1</v>
      </c>
      <c r="Z73" s="25"/>
      <c r="AA73" s="31">
        <v>2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34">
        <f t="shared" si="0"/>
        <v>4</v>
      </c>
    </row>
    <row r="74" spans="1:38" customFormat="1" ht="15" x14ac:dyDescent="0.25">
      <c r="A74" s="11"/>
      <c r="B74" s="20" t="s">
        <v>157</v>
      </c>
      <c r="C74" s="20" t="s">
        <v>158</v>
      </c>
      <c r="D74" s="11"/>
      <c r="E74" s="11"/>
      <c r="F74" s="33">
        <v>0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34">
        <f t="shared" si="0"/>
        <v>0</v>
      </c>
    </row>
    <row r="75" spans="1:38" customFormat="1" ht="15" x14ac:dyDescent="0.25">
      <c r="A75" s="11"/>
      <c r="B75" s="20" t="s">
        <v>159</v>
      </c>
      <c r="C75" s="20" t="s">
        <v>160</v>
      </c>
      <c r="D75" s="11"/>
      <c r="E75" s="11"/>
      <c r="F75" s="33">
        <v>1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34">
        <f t="shared" si="0"/>
        <v>1</v>
      </c>
    </row>
    <row r="76" spans="1:38" customFormat="1" ht="15" x14ac:dyDescent="0.25">
      <c r="A76" s="11"/>
      <c r="B76" s="20" t="s">
        <v>161</v>
      </c>
      <c r="C76" s="20" t="s">
        <v>162</v>
      </c>
      <c r="D76" s="11"/>
      <c r="E76" s="11"/>
      <c r="F76" s="33">
        <v>4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34">
        <f t="shared" ref="AL76:AL95" si="1">F76+SUM(G76:AK76)</f>
        <v>4</v>
      </c>
    </row>
    <row r="77" spans="1:38" customFormat="1" ht="15" x14ac:dyDescent="0.25">
      <c r="A77" s="11"/>
      <c r="B77" s="20" t="s">
        <v>163</v>
      </c>
      <c r="C77" s="20" t="s">
        <v>164</v>
      </c>
      <c r="D77" s="11"/>
      <c r="E77" s="11"/>
      <c r="F77" s="33">
        <v>0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34">
        <f t="shared" si="1"/>
        <v>0</v>
      </c>
    </row>
    <row r="78" spans="1:38" customFormat="1" ht="15" x14ac:dyDescent="0.25">
      <c r="A78" s="11" t="s">
        <v>32</v>
      </c>
      <c r="B78" s="20" t="s">
        <v>165</v>
      </c>
      <c r="C78" s="20" t="s">
        <v>166</v>
      </c>
      <c r="D78" s="11"/>
      <c r="E78" s="11"/>
      <c r="F78" s="33">
        <v>0</v>
      </c>
      <c r="G78" s="25"/>
      <c r="H78" s="25"/>
      <c r="I78" s="25"/>
      <c r="J78" s="25"/>
      <c r="K78" s="25"/>
      <c r="L78" s="25"/>
      <c r="M78" s="25"/>
      <c r="N78" s="25"/>
      <c r="O78" s="31">
        <v>1</v>
      </c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34">
        <f t="shared" si="1"/>
        <v>1</v>
      </c>
    </row>
    <row r="79" spans="1:38" customFormat="1" ht="15" x14ac:dyDescent="0.25">
      <c r="A79" s="11"/>
      <c r="B79" s="20" t="s">
        <v>167</v>
      </c>
      <c r="C79" s="20" t="s">
        <v>168</v>
      </c>
      <c r="D79" s="11"/>
      <c r="E79" s="11"/>
      <c r="F79" s="33">
        <v>0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34">
        <f t="shared" si="1"/>
        <v>0</v>
      </c>
    </row>
    <row r="80" spans="1:38" customFormat="1" ht="15" x14ac:dyDescent="0.25">
      <c r="A80" s="11"/>
      <c r="B80" s="20" t="s">
        <v>169</v>
      </c>
      <c r="C80" s="20" t="s">
        <v>170</v>
      </c>
      <c r="D80" s="11"/>
      <c r="E80" s="11"/>
      <c r="F80" s="33">
        <v>0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34">
        <f t="shared" si="1"/>
        <v>0</v>
      </c>
    </row>
    <row r="81" spans="1:38" customFormat="1" ht="15" x14ac:dyDescent="0.25">
      <c r="A81" s="11" t="s">
        <v>204</v>
      </c>
      <c r="B81" s="20" t="s">
        <v>171</v>
      </c>
      <c r="C81" s="20" t="s">
        <v>172</v>
      </c>
      <c r="D81" s="11"/>
      <c r="E81" s="11"/>
      <c r="F81" s="33">
        <v>0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34">
        <f t="shared" si="1"/>
        <v>0</v>
      </c>
    </row>
    <row r="82" spans="1:38" customFormat="1" ht="15" x14ac:dyDescent="0.25">
      <c r="A82" s="11" t="s">
        <v>32</v>
      </c>
      <c r="B82" s="20" t="s">
        <v>173</v>
      </c>
      <c r="C82" s="20" t="s">
        <v>174</v>
      </c>
      <c r="D82" s="11"/>
      <c r="E82" s="11"/>
      <c r="F82" s="33">
        <v>1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34">
        <f t="shared" si="1"/>
        <v>1</v>
      </c>
    </row>
    <row r="83" spans="1:38" customFormat="1" ht="15" x14ac:dyDescent="0.25">
      <c r="A83" s="11" t="s">
        <v>33</v>
      </c>
      <c r="B83" s="20" t="s">
        <v>175</v>
      </c>
      <c r="C83" s="20" t="s">
        <v>176</v>
      </c>
      <c r="D83" s="11"/>
      <c r="E83" s="11"/>
      <c r="F83" s="33">
        <v>688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34">
        <f t="shared" si="1"/>
        <v>688</v>
      </c>
    </row>
    <row r="84" spans="1:38" customFormat="1" ht="15" x14ac:dyDescent="0.25">
      <c r="A84" s="11" t="s">
        <v>33</v>
      </c>
      <c r="B84" s="20" t="s">
        <v>177</v>
      </c>
      <c r="C84" s="20" t="s">
        <v>178</v>
      </c>
      <c r="D84" s="11"/>
      <c r="E84" s="11"/>
      <c r="F84" s="33">
        <v>1501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34">
        <f t="shared" si="1"/>
        <v>1501</v>
      </c>
    </row>
    <row r="85" spans="1:38" customFormat="1" ht="15" x14ac:dyDescent="0.25">
      <c r="A85" s="11"/>
      <c r="B85" s="20" t="s">
        <v>179</v>
      </c>
      <c r="C85" s="20" t="s">
        <v>180</v>
      </c>
      <c r="D85" s="11"/>
      <c r="E85" s="11"/>
      <c r="F85" s="33">
        <v>0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34">
        <f t="shared" si="1"/>
        <v>0</v>
      </c>
    </row>
    <row r="86" spans="1:38" customFormat="1" ht="15" x14ac:dyDescent="0.25">
      <c r="A86" s="11"/>
      <c r="B86" s="20" t="s">
        <v>181</v>
      </c>
      <c r="C86" s="20" t="s">
        <v>182</v>
      </c>
      <c r="D86" s="11"/>
      <c r="E86" s="11"/>
      <c r="F86" s="33">
        <v>0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34">
        <f t="shared" si="1"/>
        <v>0</v>
      </c>
    </row>
    <row r="87" spans="1:38" customFormat="1" ht="15" x14ac:dyDescent="0.25">
      <c r="A87" s="11" t="s">
        <v>204</v>
      </c>
      <c r="B87" s="20" t="s">
        <v>183</v>
      </c>
      <c r="C87" s="20" t="s">
        <v>184</v>
      </c>
      <c r="D87" s="11"/>
      <c r="E87" s="11"/>
      <c r="F87" s="33">
        <v>0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34">
        <f t="shared" si="1"/>
        <v>0</v>
      </c>
    </row>
    <row r="88" spans="1:38" customFormat="1" ht="15" x14ac:dyDescent="0.25">
      <c r="A88" s="11" t="s">
        <v>204</v>
      </c>
      <c r="B88" s="20" t="s">
        <v>185</v>
      </c>
      <c r="C88" s="20" t="s">
        <v>186</v>
      </c>
      <c r="D88" s="11"/>
      <c r="E88" s="11"/>
      <c r="F88" s="33">
        <v>0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31">
        <v>5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34">
        <f t="shared" si="1"/>
        <v>5</v>
      </c>
    </row>
    <row r="89" spans="1:38" customFormat="1" ht="15" x14ac:dyDescent="0.25">
      <c r="A89" s="11"/>
      <c r="B89" s="20" t="s">
        <v>187</v>
      </c>
      <c r="C89" s="20" t="s">
        <v>188</v>
      </c>
      <c r="D89" s="11"/>
      <c r="E89" s="11"/>
      <c r="F89" s="33">
        <v>0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34">
        <f t="shared" si="1"/>
        <v>0</v>
      </c>
    </row>
    <row r="90" spans="1:38" customFormat="1" ht="15" x14ac:dyDescent="0.25">
      <c r="A90" s="11"/>
      <c r="B90" s="20" t="s">
        <v>189</v>
      </c>
      <c r="C90" s="20" t="s">
        <v>190</v>
      </c>
      <c r="D90" s="11"/>
      <c r="E90" s="11"/>
      <c r="F90" s="33">
        <v>0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34">
        <f t="shared" si="1"/>
        <v>0</v>
      </c>
    </row>
    <row r="91" spans="1:38" customFormat="1" ht="15" x14ac:dyDescent="0.25">
      <c r="A91" s="11" t="s">
        <v>204</v>
      </c>
      <c r="B91" s="20" t="s">
        <v>191</v>
      </c>
      <c r="C91" s="20" t="s">
        <v>192</v>
      </c>
      <c r="D91" s="11"/>
      <c r="E91" s="11"/>
      <c r="F91" s="33">
        <v>0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34">
        <f t="shared" si="1"/>
        <v>0</v>
      </c>
    </row>
    <row r="92" spans="1:38" customFormat="1" ht="15" x14ac:dyDescent="0.25">
      <c r="A92" s="11"/>
      <c r="B92" s="20" t="s">
        <v>193</v>
      </c>
      <c r="C92" s="20" t="s">
        <v>194</v>
      </c>
      <c r="D92" s="11"/>
      <c r="E92" s="11"/>
      <c r="F92" s="33">
        <v>0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34">
        <f t="shared" si="1"/>
        <v>0</v>
      </c>
    </row>
    <row r="93" spans="1:38" customFormat="1" ht="15" x14ac:dyDescent="0.25">
      <c r="A93" s="11"/>
      <c r="B93" s="20" t="s">
        <v>195</v>
      </c>
      <c r="C93" s="20" t="s">
        <v>196</v>
      </c>
      <c r="D93" s="11"/>
      <c r="E93" s="11"/>
      <c r="F93" s="33">
        <v>0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34">
        <f t="shared" si="1"/>
        <v>0</v>
      </c>
    </row>
    <row r="94" spans="1:38" customFormat="1" ht="15" x14ac:dyDescent="0.25">
      <c r="A94" s="1"/>
      <c r="B94" s="20" t="s">
        <v>197</v>
      </c>
      <c r="C94" s="20" t="s">
        <v>198</v>
      </c>
      <c r="D94" s="11"/>
      <c r="E94" s="11"/>
      <c r="F94" s="33">
        <v>0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34">
        <f t="shared" si="1"/>
        <v>0</v>
      </c>
    </row>
    <row r="95" spans="1:38" customFormat="1" ht="15" x14ac:dyDescent="0.25">
      <c r="A95" s="11" t="s">
        <v>31</v>
      </c>
      <c r="B95" s="20" t="s">
        <v>199</v>
      </c>
      <c r="C95" s="20" t="s">
        <v>200</v>
      </c>
      <c r="D95" s="11"/>
      <c r="E95" s="11"/>
      <c r="F95" s="33">
        <v>1141</v>
      </c>
      <c r="G95" s="25"/>
      <c r="H95" s="25">
        <v>-24</v>
      </c>
      <c r="I95" s="25">
        <v>-2</v>
      </c>
      <c r="J95" s="25">
        <v>-8</v>
      </c>
      <c r="K95" s="25"/>
      <c r="L95" s="25"/>
      <c r="M95" s="25"/>
      <c r="N95" s="25">
        <v>-74</v>
      </c>
      <c r="O95" s="25">
        <f>-12+-2</f>
        <v>-14</v>
      </c>
      <c r="P95" s="25"/>
      <c r="Q95" s="25"/>
      <c r="R95" s="25">
        <v>-112</v>
      </c>
      <c r="S95" s="25">
        <v>-24</v>
      </c>
      <c r="T95" s="25"/>
      <c r="U95" s="25"/>
      <c r="V95" s="25">
        <f>-26+-28</f>
        <v>-54</v>
      </c>
      <c r="W95" s="25">
        <f>-2+-2+-2</f>
        <v>-6</v>
      </c>
      <c r="X95" s="25"/>
      <c r="Y95" s="25"/>
      <c r="Z95" s="25"/>
      <c r="AA95" s="25">
        <v>-10</v>
      </c>
      <c r="AB95" s="25">
        <f>-2+-26</f>
        <v>-28</v>
      </c>
      <c r="AC95" s="25">
        <f>-40+-50</f>
        <v>-90</v>
      </c>
      <c r="AD95" s="25"/>
      <c r="AE95" s="25"/>
      <c r="AF95" s="25"/>
      <c r="AG95" s="25">
        <v>-70</v>
      </c>
      <c r="AH95" s="25"/>
      <c r="AI95" s="25"/>
      <c r="AJ95" s="25">
        <v>-14</v>
      </c>
      <c r="AK95" s="25"/>
      <c r="AL95" s="34">
        <f t="shared" si="1"/>
        <v>611</v>
      </c>
    </row>
    <row r="96" spans="1:38" customFormat="1" ht="15" x14ac:dyDescent="0.25">
      <c r="A96" s="11" t="s">
        <v>31</v>
      </c>
      <c r="B96" s="20" t="s">
        <v>201</v>
      </c>
      <c r="C96" s="20" t="s">
        <v>202</v>
      </c>
      <c r="D96" s="11"/>
      <c r="E96" s="11"/>
      <c r="F96" s="33">
        <v>1964</v>
      </c>
      <c r="G96" s="25"/>
      <c r="H96" s="25">
        <v>-216</v>
      </c>
      <c r="I96" s="25"/>
      <c r="J96" s="25"/>
      <c r="K96" s="25"/>
      <c r="L96" s="25">
        <v>-210</v>
      </c>
      <c r="M96" s="25"/>
      <c r="N96" s="25">
        <v>-336</v>
      </c>
      <c r="O96" s="25">
        <v>-60</v>
      </c>
      <c r="P96" s="25"/>
      <c r="Q96" s="25"/>
      <c r="R96" s="25"/>
      <c r="S96" s="25">
        <v>-48</v>
      </c>
      <c r="T96" s="25"/>
      <c r="U96" s="25"/>
      <c r="V96" s="25">
        <v>-56</v>
      </c>
      <c r="W96" s="25"/>
      <c r="X96" s="25"/>
      <c r="Y96" s="25"/>
      <c r="Z96" s="25"/>
      <c r="AA96" s="25">
        <f>-20+-52</f>
        <v>-72</v>
      </c>
      <c r="AB96" s="25">
        <v>-25</v>
      </c>
      <c r="AC96" s="25">
        <v>-80</v>
      </c>
      <c r="AD96" s="25"/>
      <c r="AE96" s="25"/>
      <c r="AF96" s="25"/>
      <c r="AG96" s="25"/>
      <c r="AH96" s="25"/>
      <c r="AI96" s="25"/>
      <c r="AJ96" s="25"/>
      <c r="AK96" s="25"/>
      <c r="AL96" s="34">
        <f>F96+SUM(G96:AK96)</f>
        <v>861</v>
      </c>
    </row>
    <row r="97" spans="1:38" customFormat="1" ht="15" x14ac:dyDescent="0.25">
      <c r="A97" s="11"/>
      <c r="B97" s="20"/>
      <c r="C97" s="20"/>
      <c r="D97" s="11"/>
      <c r="E97" s="11"/>
      <c r="F97" s="1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34"/>
    </row>
    <row r="98" spans="1:38" customFormat="1" ht="15" x14ac:dyDescent="0.25">
      <c r="A98" s="11"/>
      <c r="B98" s="20"/>
      <c r="C98" s="2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34"/>
    </row>
    <row r="99" spans="1:38" customFormat="1" ht="15" x14ac:dyDescent="0.25">
      <c r="A99" s="11"/>
      <c r="B99" s="20"/>
      <c r="C99" s="2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26"/>
    </row>
    <row r="100" spans="1:38" customFormat="1" ht="15" x14ac:dyDescent="0.25">
      <c r="A100" s="11"/>
      <c r="B100" s="20"/>
      <c r="C100" s="2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26"/>
    </row>
    <row r="101" spans="1:38" customFormat="1" ht="15" x14ac:dyDescent="0.25">
      <c r="A101" s="11"/>
      <c r="B101" s="20"/>
      <c r="C101" s="2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26"/>
    </row>
    <row r="102" spans="1:38" customFormat="1" ht="15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26"/>
    </row>
    <row r="103" spans="1:38" customFormat="1" ht="15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26"/>
    </row>
    <row r="104" spans="1:38" customFormat="1" ht="15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26"/>
    </row>
    <row r="105" spans="1:38" ht="13.5" thickBot="1" x14ac:dyDescent="0.25"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</row>
    <row r="106" spans="1:38" ht="79.5" customHeight="1" thickBot="1" x14ac:dyDescent="0.25">
      <c r="B106" s="6" t="s">
        <v>21</v>
      </c>
      <c r="C106" s="18"/>
      <c r="D106" s="19"/>
      <c r="E106" s="9" t="s">
        <v>22</v>
      </c>
      <c r="F106" s="22" t="s">
        <v>23</v>
      </c>
      <c r="G106" s="27" t="s">
        <v>24</v>
      </c>
      <c r="H106" s="28"/>
    </row>
    <row r="107" spans="1:38" ht="16.5" thickBot="1" x14ac:dyDescent="0.25">
      <c r="B107" s="7" t="s">
        <v>25</v>
      </c>
      <c r="C107" s="19"/>
      <c r="D107" s="19"/>
      <c r="E107" s="8"/>
      <c r="F107" s="21"/>
      <c r="G107" s="54"/>
      <c r="H107" s="55"/>
    </row>
    <row r="108" spans="1:38" ht="16.5" thickBot="1" x14ac:dyDescent="0.25">
      <c r="B108" s="7" t="s">
        <v>26</v>
      </c>
      <c r="C108" s="19"/>
      <c r="D108" s="19"/>
      <c r="E108" s="9"/>
      <c r="F108" s="22"/>
      <c r="G108" s="56"/>
      <c r="H108" s="57"/>
    </row>
    <row r="109" spans="1:38" ht="16.5" thickBot="1" x14ac:dyDescent="0.25">
      <c r="B109" s="7" t="s">
        <v>27</v>
      </c>
      <c r="C109" s="19"/>
      <c r="D109" s="19"/>
      <c r="E109" s="10"/>
      <c r="F109" s="23"/>
      <c r="G109" s="58"/>
      <c r="H109" s="59"/>
    </row>
    <row r="110" spans="1:38" ht="15.75" x14ac:dyDescent="0.2">
      <c r="B110" s="60" t="s">
        <v>28</v>
      </c>
      <c r="C110" s="16"/>
      <c r="D110" s="16"/>
      <c r="E110" s="63"/>
      <c r="F110" s="66"/>
      <c r="G110" s="69"/>
      <c r="H110" s="70"/>
    </row>
    <row r="111" spans="1:38" ht="15.75" x14ac:dyDescent="0.2">
      <c r="B111" s="61"/>
      <c r="C111" s="17"/>
      <c r="D111" s="17"/>
      <c r="E111" s="64"/>
      <c r="F111" s="67"/>
      <c r="G111" s="69"/>
      <c r="H111" s="70"/>
    </row>
    <row r="112" spans="1:38" ht="16.5" thickBot="1" x14ac:dyDescent="0.25">
      <c r="B112" s="62"/>
      <c r="C112" s="7"/>
      <c r="D112" s="7"/>
      <c r="E112" s="65"/>
      <c r="F112" s="68"/>
      <c r="G112" s="71"/>
      <c r="H112" s="72"/>
    </row>
  </sheetData>
  <autoFilter ref="A10:AO96" xr:uid="{00000000-0001-0000-0000-000000000000}"/>
  <mergeCells count="24">
    <mergeCell ref="G110:H112"/>
    <mergeCell ref="G107:H107"/>
    <mergeCell ref="G108:H108"/>
    <mergeCell ref="G109:H109"/>
    <mergeCell ref="B110:B112"/>
    <mergeCell ref="E110:E112"/>
    <mergeCell ref="F110:F112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</mergeCells>
  <conditionalFormatting sqref="AL11:AL104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dimension ref="A1:AL112"/>
  <sheetViews>
    <sheetView topLeftCell="A7" workbookViewId="0">
      <pane xSplit="3" ySplit="4" topLeftCell="E83" activePane="bottomRight" state="frozen"/>
      <selection activeCell="A7" sqref="A7"/>
      <selection pane="topRight" activeCell="D7" sqref="D7"/>
      <selection pane="bottomLeft" activeCell="A11" sqref="A11"/>
      <selection pane="bottomRight" activeCell="AK88" sqref="AK88"/>
    </sheetView>
  </sheetViews>
  <sheetFormatPr defaultRowHeight="15" x14ac:dyDescent="0.25"/>
  <cols>
    <col min="2" max="2" width="12.7109375" bestFit="1" customWidth="1"/>
    <col min="3" max="3" width="53.7109375" bestFit="1" customWidth="1"/>
    <col min="7" max="34" width="10.140625" bestFit="1" customWidth="1"/>
  </cols>
  <sheetData>
    <row r="1" spans="1:38" ht="22.5" x14ac:dyDescent="0.25">
      <c r="E1" s="37" t="s">
        <v>29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38" x14ac:dyDescent="0.25">
      <c r="E2" s="38" t="s">
        <v>30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38" ht="15.75" x14ac:dyDescent="0.25">
      <c r="E3" s="41" t="s">
        <v>0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38" x14ac:dyDescent="0.25">
      <c r="E4" s="42" t="s">
        <v>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38" ht="15.75" x14ac:dyDescent="0.25">
      <c r="E5" s="43" t="s">
        <v>2</v>
      </c>
      <c r="F5" s="43"/>
      <c r="G5" s="43"/>
      <c r="H5" s="44" t="s">
        <v>3</v>
      </c>
      <c r="I5" s="45"/>
      <c r="J5" s="46"/>
      <c r="K5" s="47" t="s">
        <v>4</v>
      </c>
      <c r="L5" s="47"/>
      <c r="M5" s="11">
        <v>0</v>
      </c>
      <c r="N5" s="48" t="s">
        <v>5</v>
      </c>
      <c r="O5" s="48"/>
      <c r="P5" s="49"/>
      <c r="Q5" s="50"/>
    </row>
    <row r="6" spans="1:38" ht="15.75" x14ac:dyDescent="0.25">
      <c r="E6" s="43" t="s">
        <v>6</v>
      </c>
      <c r="F6" s="43"/>
      <c r="G6" s="43"/>
      <c r="H6" s="51" t="s">
        <v>7</v>
      </c>
      <c r="I6" s="51"/>
      <c r="J6" s="51"/>
      <c r="K6" s="47" t="s">
        <v>8</v>
      </c>
      <c r="L6" s="47"/>
      <c r="M6" s="52" t="s">
        <v>9</v>
      </c>
      <c r="N6" s="52"/>
      <c r="O6" s="52"/>
      <c r="P6" s="52"/>
      <c r="Q6" s="52"/>
    </row>
    <row r="7" spans="1:38" ht="15.75" x14ac:dyDescent="0.25">
      <c r="E7" s="47" t="s">
        <v>10</v>
      </c>
      <c r="F7" s="47"/>
      <c r="G7" s="47"/>
      <c r="H7" s="53"/>
      <c r="I7" s="53"/>
      <c r="J7" s="53"/>
      <c r="K7" s="47" t="s">
        <v>11</v>
      </c>
      <c r="L7" s="47"/>
      <c r="M7" s="52"/>
      <c r="N7" s="52"/>
      <c r="O7" s="52"/>
      <c r="P7" s="52"/>
      <c r="Q7" s="52"/>
    </row>
    <row r="9" spans="1:38" x14ac:dyDescent="0.25">
      <c r="A9" t="s">
        <v>12</v>
      </c>
    </row>
    <row r="10" spans="1:38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205</v>
      </c>
      <c r="G10" s="13">
        <v>46054</v>
      </c>
      <c r="H10" s="13">
        <v>46055</v>
      </c>
      <c r="I10" s="13">
        <v>46056</v>
      </c>
      <c r="J10" s="13">
        <v>46057</v>
      </c>
      <c r="K10" s="13">
        <v>46058</v>
      </c>
      <c r="L10" s="13">
        <v>46059</v>
      </c>
      <c r="M10" s="13">
        <v>46060</v>
      </c>
      <c r="N10" s="13">
        <v>46061</v>
      </c>
      <c r="O10" s="13">
        <v>46062</v>
      </c>
      <c r="P10" s="13">
        <v>46063</v>
      </c>
      <c r="Q10" s="13">
        <v>46064</v>
      </c>
      <c r="R10" s="13">
        <v>46065</v>
      </c>
      <c r="S10" s="13">
        <v>46066</v>
      </c>
      <c r="T10" s="13">
        <v>46067</v>
      </c>
      <c r="U10" s="13">
        <v>46068</v>
      </c>
      <c r="V10" s="13">
        <v>46069</v>
      </c>
      <c r="W10" s="13">
        <v>46070</v>
      </c>
      <c r="X10" s="13">
        <v>46071</v>
      </c>
      <c r="Y10" s="13">
        <v>46072</v>
      </c>
      <c r="Z10" s="13">
        <v>46073</v>
      </c>
      <c r="AA10" s="13">
        <v>46074</v>
      </c>
      <c r="AB10" s="13">
        <v>46075</v>
      </c>
      <c r="AC10" s="13">
        <v>46076</v>
      </c>
      <c r="AD10" s="13">
        <v>46077</v>
      </c>
      <c r="AE10" s="13">
        <v>46078</v>
      </c>
      <c r="AF10" s="13">
        <v>46079</v>
      </c>
      <c r="AG10" s="13">
        <v>46080</v>
      </c>
      <c r="AH10" s="13">
        <v>46081</v>
      </c>
      <c r="AI10" s="12" t="s">
        <v>207</v>
      </c>
      <c r="AJ10" s="3" t="s">
        <v>18</v>
      </c>
      <c r="AK10" s="3" t="s">
        <v>19</v>
      </c>
      <c r="AL10" s="3" t="s">
        <v>20</v>
      </c>
    </row>
    <row r="11" spans="1:38" x14ac:dyDescent="0.25">
      <c r="A11" s="11" t="s">
        <v>31</v>
      </c>
      <c r="B11" s="20" t="s">
        <v>34</v>
      </c>
      <c r="C11" s="20" t="s">
        <v>35</v>
      </c>
      <c r="D11" s="11"/>
      <c r="E11" s="11"/>
      <c r="F11" s="35">
        <f>'Jan 2026'!AL11</f>
        <v>629</v>
      </c>
      <c r="G11" s="25"/>
      <c r="H11" s="25">
        <f>-34+-12</f>
        <v>-46</v>
      </c>
      <c r="I11" s="25"/>
      <c r="J11" s="25">
        <f>-18+-32+-42</f>
        <v>-92</v>
      </c>
      <c r="K11" s="25"/>
      <c r="L11" s="25"/>
      <c r="M11" s="25"/>
      <c r="N11" s="25"/>
      <c r="O11" s="25">
        <v>-4</v>
      </c>
      <c r="P11" s="25"/>
      <c r="Q11" s="25"/>
      <c r="R11" s="25"/>
      <c r="S11" s="25">
        <v>-62</v>
      </c>
      <c r="T11" s="25"/>
      <c r="U11" s="25"/>
      <c r="V11" s="25"/>
      <c r="W11" s="25">
        <v>-72</v>
      </c>
      <c r="X11" s="25"/>
      <c r="Y11" s="25"/>
      <c r="Z11" s="25"/>
      <c r="AA11" s="25"/>
      <c r="AB11" s="25"/>
      <c r="AC11" s="25">
        <v>-72</v>
      </c>
      <c r="AD11" s="25">
        <v>-44</v>
      </c>
      <c r="AE11" s="25"/>
      <c r="AF11" s="31">
        <v>1000</v>
      </c>
      <c r="AG11" s="25">
        <v>-174</v>
      </c>
      <c r="AH11" s="25">
        <v>-16</v>
      </c>
      <c r="AI11" s="34">
        <f t="shared" ref="AI11:AI42" si="0">F11+SUM(G11:AH11)</f>
        <v>1047</v>
      </c>
    </row>
    <row r="12" spans="1:38" x14ac:dyDescent="0.25">
      <c r="A12" s="11" t="s">
        <v>31</v>
      </c>
      <c r="B12" s="20" t="s">
        <v>36</v>
      </c>
      <c r="C12" s="20" t="s">
        <v>37</v>
      </c>
      <c r="D12" s="11"/>
      <c r="E12" s="11"/>
      <c r="F12" s="35">
        <f>'Jan 2026'!AL12</f>
        <v>503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>
        <f t="shared" si="0"/>
        <v>503</v>
      </c>
    </row>
    <row r="13" spans="1:38" x14ac:dyDescent="0.25">
      <c r="A13" s="11" t="s">
        <v>31</v>
      </c>
      <c r="B13" s="20" t="s">
        <v>38</v>
      </c>
      <c r="C13" s="20" t="s">
        <v>39</v>
      </c>
      <c r="D13" s="11"/>
      <c r="E13" s="11"/>
      <c r="F13" s="35">
        <f>'Jan 2026'!AL13</f>
        <v>315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>
        <f t="shared" si="0"/>
        <v>315</v>
      </c>
    </row>
    <row r="14" spans="1:38" x14ac:dyDescent="0.25">
      <c r="A14" s="11" t="s">
        <v>31</v>
      </c>
      <c r="B14" s="20" t="s">
        <v>40</v>
      </c>
      <c r="C14" s="20" t="s">
        <v>41</v>
      </c>
      <c r="D14" s="11"/>
      <c r="E14" s="11"/>
      <c r="F14" s="35">
        <f>'Jan 2026'!AL14</f>
        <v>397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>
        <f t="shared" si="0"/>
        <v>397</v>
      </c>
    </row>
    <row r="15" spans="1:38" x14ac:dyDescent="0.25">
      <c r="A15" s="11" t="s">
        <v>31</v>
      </c>
      <c r="B15" s="20" t="s">
        <v>42</v>
      </c>
      <c r="C15" s="20" t="s">
        <v>43</v>
      </c>
      <c r="D15" s="11"/>
      <c r="E15" s="11"/>
      <c r="F15" s="35">
        <f>'Jan 2026'!AL15</f>
        <v>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>
        <f t="shared" si="0"/>
        <v>0</v>
      </c>
    </row>
    <row r="16" spans="1:38" x14ac:dyDescent="0.25">
      <c r="A16" s="11" t="s">
        <v>31</v>
      </c>
      <c r="B16" s="20" t="s">
        <v>44</v>
      </c>
      <c r="C16" s="20" t="s">
        <v>45</v>
      </c>
      <c r="D16" s="11"/>
      <c r="E16" s="11"/>
      <c r="F16" s="35">
        <f>'Jan 2026'!AL16</f>
        <v>279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34">
        <f t="shared" si="0"/>
        <v>279</v>
      </c>
    </row>
    <row r="17" spans="1:35" x14ac:dyDescent="0.25">
      <c r="A17" s="11" t="s">
        <v>31</v>
      </c>
      <c r="B17" s="20" t="s">
        <v>46</v>
      </c>
      <c r="C17" s="20" t="s">
        <v>47</v>
      </c>
      <c r="D17" s="11"/>
      <c r="E17" s="11"/>
      <c r="F17" s="35">
        <f>'Jan 2026'!AL17</f>
        <v>850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34">
        <f t="shared" si="0"/>
        <v>850</v>
      </c>
    </row>
    <row r="18" spans="1:35" x14ac:dyDescent="0.25">
      <c r="A18" s="11" t="s">
        <v>31</v>
      </c>
      <c r="B18" s="20" t="s">
        <v>48</v>
      </c>
      <c r="C18" s="20" t="s">
        <v>49</v>
      </c>
      <c r="D18" s="11"/>
      <c r="E18" s="11"/>
      <c r="F18" s="35">
        <f>'Jan 2026'!AL18</f>
        <v>1864</v>
      </c>
      <c r="G18" s="25"/>
      <c r="H18" s="25">
        <f>-34+-12</f>
        <v>-46</v>
      </c>
      <c r="I18" s="25"/>
      <c r="J18" s="25">
        <f>-18+-32</f>
        <v>-50</v>
      </c>
      <c r="K18" s="25"/>
      <c r="L18" s="25"/>
      <c r="M18" s="25">
        <v>-8</v>
      </c>
      <c r="N18" s="25"/>
      <c r="O18" s="25">
        <f>-80+-4+-8</f>
        <v>-92</v>
      </c>
      <c r="P18" s="25"/>
      <c r="Q18" s="25"/>
      <c r="R18" s="25">
        <v>-150</v>
      </c>
      <c r="S18" s="25">
        <v>-62</v>
      </c>
      <c r="T18" s="25"/>
      <c r="U18" s="25"/>
      <c r="V18" s="25"/>
      <c r="W18" s="25">
        <f>-72+-32</f>
        <v>-104</v>
      </c>
      <c r="X18" s="25">
        <v>-40</v>
      </c>
      <c r="Y18" s="25">
        <v>-42</v>
      </c>
      <c r="Z18" s="25">
        <f>-36+-44</f>
        <v>-80</v>
      </c>
      <c r="AA18" s="31">
        <v>1000</v>
      </c>
      <c r="AB18" s="25">
        <v>-24</v>
      </c>
      <c r="AC18" s="25">
        <f>-100+-72</f>
        <v>-172</v>
      </c>
      <c r="AD18" s="25">
        <f>-44+-100</f>
        <v>-144</v>
      </c>
      <c r="AE18" s="25"/>
      <c r="AF18" s="25">
        <v>-110</v>
      </c>
      <c r="AG18" s="25">
        <f>-60+-300+-174</f>
        <v>-534</v>
      </c>
      <c r="AH18" s="25">
        <v>-16</v>
      </c>
      <c r="AI18" s="34">
        <f t="shared" si="0"/>
        <v>1190</v>
      </c>
    </row>
    <row r="19" spans="1:35" x14ac:dyDescent="0.25">
      <c r="A19" s="11" t="s">
        <v>31</v>
      </c>
      <c r="B19" s="20" t="s">
        <v>50</v>
      </c>
      <c r="C19" s="20" t="s">
        <v>51</v>
      </c>
      <c r="D19" s="11"/>
      <c r="E19" s="11"/>
      <c r="F19" s="35">
        <f>'Jan 2026'!AL19</f>
        <v>1379</v>
      </c>
      <c r="G19" s="25"/>
      <c r="H19" s="25"/>
      <c r="I19" s="25"/>
      <c r="J19" s="25"/>
      <c r="K19" s="25"/>
      <c r="L19" s="25"/>
      <c r="M19" s="25"/>
      <c r="N19" s="25"/>
      <c r="O19" s="25">
        <v>-32</v>
      </c>
      <c r="P19" s="25"/>
      <c r="Q19" s="25"/>
      <c r="R19" s="25"/>
      <c r="S19" s="25"/>
      <c r="T19" s="25"/>
      <c r="U19" s="25"/>
      <c r="V19" s="25"/>
      <c r="W19" s="25"/>
      <c r="X19" s="25">
        <v>-92</v>
      </c>
      <c r="Y19" s="25"/>
      <c r="Z19" s="25"/>
      <c r="AA19" s="25"/>
      <c r="AB19" s="25"/>
      <c r="AC19" s="25">
        <v>-88</v>
      </c>
      <c r="AD19" s="25"/>
      <c r="AE19" s="25"/>
      <c r="AF19" s="25"/>
      <c r="AG19" s="25"/>
      <c r="AH19" s="25"/>
      <c r="AI19" s="34">
        <f t="shared" si="0"/>
        <v>1167</v>
      </c>
    </row>
    <row r="20" spans="1:35" x14ac:dyDescent="0.25">
      <c r="A20" s="11" t="s">
        <v>31</v>
      </c>
      <c r="B20" s="20" t="s">
        <v>52</v>
      </c>
      <c r="C20" s="20" t="s">
        <v>53</v>
      </c>
      <c r="D20" s="11"/>
      <c r="E20" s="11"/>
      <c r="F20" s="35">
        <f>'Jan 2026'!AL20</f>
        <v>125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34">
        <f t="shared" si="0"/>
        <v>125</v>
      </c>
    </row>
    <row r="21" spans="1:35" x14ac:dyDescent="0.25">
      <c r="A21" s="11" t="s">
        <v>31</v>
      </c>
      <c r="B21" s="20" t="s">
        <v>54</v>
      </c>
      <c r="C21" s="20" t="s">
        <v>55</v>
      </c>
      <c r="D21" s="11"/>
      <c r="E21" s="11"/>
      <c r="F21" s="35">
        <f>'Jan 2026'!AL21</f>
        <v>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34">
        <f t="shared" si="0"/>
        <v>0</v>
      </c>
    </row>
    <row r="22" spans="1:35" x14ac:dyDescent="0.25">
      <c r="A22" s="11" t="s">
        <v>31</v>
      </c>
      <c r="B22" s="20" t="s">
        <v>56</v>
      </c>
      <c r="C22" s="20" t="s">
        <v>57</v>
      </c>
      <c r="D22" s="11"/>
      <c r="E22" s="11"/>
      <c r="F22" s="35">
        <f>'Jan 2026'!AL22</f>
        <v>272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34">
        <f t="shared" si="0"/>
        <v>272</v>
      </c>
    </row>
    <row r="23" spans="1:35" x14ac:dyDescent="0.25">
      <c r="A23" s="11" t="s">
        <v>31</v>
      </c>
      <c r="B23" s="20" t="s">
        <v>58</v>
      </c>
      <c r="C23" s="20" t="s">
        <v>59</v>
      </c>
      <c r="D23" s="11"/>
      <c r="E23" s="11"/>
      <c r="F23" s="35">
        <f>'Jan 2026'!AL23</f>
        <v>569</v>
      </c>
      <c r="G23" s="25"/>
      <c r="H23" s="25"/>
      <c r="I23" s="25"/>
      <c r="J23" s="25">
        <f>-16+-20</f>
        <v>-36</v>
      </c>
      <c r="K23" s="25">
        <v>-18</v>
      </c>
      <c r="L23" s="25"/>
      <c r="M23" s="25">
        <v>-50</v>
      </c>
      <c r="N23" s="25"/>
      <c r="O23" s="25"/>
      <c r="P23" s="25"/>
      <c r="Q23" s="25"/>
      <c r="R23" s="25"/>
      <c r="S23" s="25">
        <v>-30</v>
      </c>
      <c r="T23" s="25"/>
      <c r="U23" s="25"/>
      <c r="V23" s="25"/>
      <c r="W23" s="25"/>
      <c r="X23" s="25"/>
      <c r="Y23" s="25">
        <v>-2</v>
      </c>
      <c r="Z23" s="25">
        <f>-44+-24</f>
        <v>-68</v>
      </c>
      <c r="AA23" s="25"/>
      <c r="AB23" s="25"/>
      <c r="AC23" s="25"/>
      <c r="AD23" s="25">
        <v>-22</v>
      </c>
      <c r="AE23" s="25"/>
      <c r="AF23" s="25"/>
      <c r="AG23" s="25"/>
      <c r="AH23" s="25"/>
      <c r="AI23" s="34">
        <f t="shared" si="0"/>
        <v>343</v>
      </c>
    </row>
    <row r="24" spans="1:35" x14ac:dyDescent="0.25">
      <c r="A24" s="11" t="s">
        <v>31</v>
      </c>
      <c r="B24" s="20" t="s">
        <v>60</v>
      </c>
      <c r="C24" s="20" t="s">
        <v>61</v>
      </c>
      <c r="D24" s="11"/>
      <c r="E24" s="11"/>
      <c r="F24" s="35">
        <f>'Jan 2026'!AL24</f>
        <v>0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34">
        <f t="shared" si="0"/>
        <v>0</v>
      </c>
    </row>
    <row r="25" spans="1:35" x14ac:dyDescent="0.25">
      <c r="A25" s="11" t="s">
        <v>31</v>
      </c>
      <c r="B25" s="20" t="s">
        <v>62</v>
      </c>
      <c r="C25" s="20" t="s">
        <v>63</v>
      </c>
      <c r="D25" s="11"/>
      <c r="E25" s="11"/>
      <c r="F25" s="35">
        <f>'Jan 2026'!AL25</f>
        <v>1372</v>
      </c>
      <c r="G25" s="25"/>
      <c r="H25" s="25"/>
      <c r="I25" s="25"/>
      <c r="J25" s="25"/>
      <c r="K25" s="25"/>
      <c r="L25" s="25"/>
      <c r="M25" s="25">
        <v>-100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34">
        <f t="shared" si="0"/>
        <v>1272</v>
      </c>
    </row>
    <row r="26" spans="1:35" x14ac:dyDescent="0.25">
      <c r="A26" s="11" t="s">
        <v>31</v>
      </c>
      <c r="B26" s="20" t="s">
        <v>64</v>
      </c>
      <c r="C26" s="20" t="s">
        <v>65</v>
      </c>
      <c r="D26" s="11"/>
      <c r="E26" s="11"/>
      <c r="F26" s="35">
        <f>'Jan 2026'!AL26</f>
        <v>1061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34">
        <f t="shared" si="0"/>
        <v>1061</v>
      </c>
    </row>
    <row r="27" spans="1:35" x14ac:dyDescent="0.25">
      <c r="A27" s="11" t="s">
        <v>31</v>
      </c>
      <c r="B27" s="20" t="s">
        <v>66</v>
      </c>
      <c r="C27" s="20" t="s">
        <v>67</v>
      </c>
      <c r="D27" s="11"/>
      <c r="E27" s="11"/>
      <c r="F27" s="35">
        <f>'Jan 2026'!AL27</f>
        <v>908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34">
        <f t="shared" si="0"/>
        <v>908</v>
      </c>
    </row>
    <row r="28" spans="1:35" x14ac:dyDescent="0.25">
      <c r="A28" s="11" t="s">
        <v>31</v>
      </c>
      <c r="B28" s="20" t="s">
        <v>68</v>
      </c>
      <c r="C28" s="20" t="s">
        <v>69</v>
      </c>
      <c r="D28" s="11"/>
      <c r="E28" s="11"/>
      <c r="F28" s="35">
        <f>'Jan 2026'!AL28</f>
        <v>493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34">
        <f t="shared" si="0"/>
        <v>493</v>
      </c>
    </row>
    <row r="29" spans="1:35" x14ac:dyDescent="0.25">
      <c r="A29" s="11" t="s">
        <v>31</v>
      </c>
      <c r="B29" s="20" t="s">
        <v>70</v>
      </c>
      <c r="C29" s="20" t="s">
        <v>71</v>
      </c>
      <c r="D29" s="11"/>
      <c r="E29" s="11"/>
      <c r="F29" s="35">
        <f>'Jan 2026'!AL29</f>
        <v>1858</v>
      </c>
      <c r="G29" s="25"/>
      <c r="H29" s="25">
        <f>-34+-12</f>
        <v>-46</v>
      </c>
      <c r="I29" s="25"/>
      <c r="J29" s="25">
        <f>-18+-32+-32+-40+-32+-42+-84+-8</f>
        <v>-288</v>
      </c>
      <c r="K29" s="25">
        <v>-36</v>
      </c>
      <c r="L29" s="25"/>
      <c r="M29" s="25"/>
      <c r="N29" s="25"/>
      <c r="O29" s="25">
        <f>-28+-4</f>
        <v>-32</v>
      </c>
      <c r="P29" s="25"/>
      <c r="Q29" s="25"/>
      <c r="R29" s="25"/>
      <c r="S29" s="25">
        <f>-60+-62</f>
        <v>-122</v>
      </c>
      <c r="T29" s="25"/>
      <c r="U29" s="25"/>
      <c r="V29" s="25"/>
      <c r="W29" s="25">
        <v>-72</v>
      </c>
      <c r="X29" s="25"/>
      <c r="Y29" s="25"/>
      <c r="Z29" s="25">
        <f>-48+-88+-24+-96</f>
        <v>-256</v>
      </c>
      <c r="AA29" s="25">
        <v>-270</v>
      </c>
      <c r="AB29" s="25"/>
      <c r="AC29" s="25">
        <v>-72</v>
      </c>
      <c r="AD29" s="25">
        <f>-22+-22+-44</f>
        <v>-88</v>
      </c>
      <c r="AE29" s="25"/>
      <c r="AF29" s="25"/>
      <c r="AG29" s="25">
        <f>-300+-174</f>
        <v>-474</v>
      </c>
      <c r="AH29" s="25">
        <v>-16</v>
      </c>
      <c r="AI29" s="34">
        <f t="shared" si="0"/>
        <v>86</v>
      </c>
    </row>
    <row r="30" spans="1:35" x14ac:dyDescent="0.25">
      <c r="A30" s="11" t="s">
        <v>31</v>
      </c>
      <c r="B30" s="20" t="s">
        <v>72</v>
      </c>
      <c r="C30" s="20" t="s">
        <v>73</v>
      </c>
      <c r="D30" s="11"/>
      <c r="E30" s="11"/>
      <c r="F30" s="35">
        <f>'Jan 2026'!AL30</f>
        <v>1290</v>
      </c>
      <c r="G30" s="25"/>
      <c r="H30" s="25"/>
      <c r="I30" s="25"/>
      <c r="J30" s="25">
        <v>-42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34">
        <f t="shared" si="0"/>
        <v>1248</v>
      </c>
    </row>
    <row r="31" spans="1:35" x14ac:dyDescent="0.25">
      <c r="A31" s="11" t="s">
        <v>31</v>
      </c>
      <c r="B31" s="20" t="s">
        <v>74</v>
      </c>
      <c r="C31" s="20" t="s">
        <v>75</v>
      </c>
      <c r="D31" s="11"/>
      <c r="E31" s="11"/>
      <c r="F31" s="35">
        <f>'Jan 2026'!AL31</f>
        <v>2344</v>
      </c>
      <c r="G31" s="25"/>
      <c r="H31" s="25">
        <f>-68+-24</f>
        <v>-92</v>
      </c>
      <c r="I31" s="25"/>
      <c r="J31" s="25">
        <f>-36+-64</f>
        <v>-100</v>
      </c>
      <c r="K31" s="25"/>
      <c r="L31" s="25"/>
      <c r="M31" s="25"/>
      <c r="N31" s="25"/>
      <c r="O31" s="25">
        <v>-8</v>
      </c>
      <c r="P31" s="25"/>
      <c r="Q31" s="25"/>
      <c r="R31" s="25">
        <v>-160</v>
      </c>
      <c r="S31" s="25">
        <v>-124</v>
      </c>
      <c r="T31" s="25"/>
      <c r="U31" s="25"/>
      <c r="V31" s="25"/>
      <c r="W31" s="25">
        <f>-144+-64</f>
        <v>-208</v>
      </c>
      <c r="X31" s="25"/>
      <c r="Y31" s="25">
        <v>-84</v>
      </c>
      <c r="Z31" s="25">
        <v>-72</v>
      </c>
      <c r="AA31" s="31">
        <v>1000</v>
      </c>
      <c r="AB31" s="25"/>
      <c r="AC31" s="25">
        <v>-144</v>
      </c>
      <c r="AD31" s="25">
        <v>-88</v>
      </c>
      <c r="AE31" s="25">
        <v>-600</v>
      </c>
      <c r="AF31" s="25"/>
      <c r="AG31" s="25">
        <f>-800+-348</f>
        <v>-1148</v>
      </c>
      <c r="AH31" s="25">
        <v>-32</v>
      </c>
      <c r="AI31" s="34">
        <f t="shared" si="0"/>
        <v>484</v>
      </c>
    </row>
    <row r="32" spans="1:35" x14ac:dyDescent="0.25">
      <c r="A32" s="11" t="s">
        <v>31</v>
      </c>
      <c r="B32" s="20" t="s">
        <v>76</v>
      </c>
      <c r="C32" s="20" t="s">
        <v>77</v>
      </c>
      <c r="D32" s="11"/>
      <c r="E32" s="11"/>
      <c r="F32" s="35">
        <f>'Jan 2026'!AL32</f>
        <v>2344</v>
      </c>
      <c r="G32" s="25"/>
      <c r="H32" s="25"/>
      <c r="I32" s="25"/>
      <c r="J32" s="25"/>
      <c r="K32" s="25"/>
      <c r="L32" s="25"/>
      <c r="M32" s="25">
        <v>-8</v>
      </c>
      <c r="N32" s="25"/>
      <c r="O32" s="25">
        <f>-80+-8</f>
        <v>-88</v>
      </c>
      <c r="P32" s="25"/>
      <c r="Q32" s="25">
        <v>-34</v>
      </c>
      <c r="R32" s="25">
        <v>-150</v>
      </c>
      <c r="S32" s="25"/>
      <c r="T32" s="25"/>
      <c r="U32" s="25"/>
      <c r="V32" s="25"/>
      <c r="W32" s="25"/>
      <c r="X32" s="25">
        <f>-40+-150</f>
        <v>-190</v>
      </c>
      <c r="Y32" s="25"/>
      <c r="Z32" s="25"/>
      <c r="AA32" s="31">
        <v>1000</v>
      </c>
      <c r="AB32" s="25"/>
      <c r="AC32" s="25">
        <v>-100</v>
      </c>
      <c r="AD32" s="25">
        <f>-30+-100</f>
        <v>-130</v>
      </c>
      <c r="AE32" s="25"/>
      <c r="AF32" s="25">
        <f>-110+-100</f>
        <v>-210</v>
      </c>
      <c r="AG32" s="25">
        <v>-60</v>
      </c>
      <c r="AH32" s="25"/>
      <c r="AI32" s="34">
        <f t="shared" si="0"/>
        <v>2374</v>
      </c>
    </row>
    <row r="33" spans="1:35" x14ac:dyDescent="0.25">
      <c r="A33" s="11" t="s">
        <v>31</v>
      </c>
      <c r="B33" s="20" t="s">
        <v>78</v>
      </c>
      <c r="C33" s="20" t="s">
        <v>79</v>
      </c>
      <c r="D33" s="11"/>
      <c r="E33" s="11"/>
      <c r="F33" s="35">
        <f>'Jan 2026'!AL33</f>
        <v>771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34">
        <f t="shared" si="0"/>
        <v>771</v>
      </c>
    </row>
    <row r="34" spans="1:35" x14ac:dyDescent="0.25">
      <c r="A34" s="11" t="s">
        <v>31</v>
      </c>
      <c r="B34" s="20" t="s">
        <v>80</v>
      </c>
      <c r="C34" s="20" t="s">
        <v>81</v>
      </c>
      <c r="D34" s="11"/>
      <c r="E34" s="11"/>
      <c r="F34" s="35">
        <f>'Jan 2026'!AL34</f>
        <v>204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34">
        <f t="shared" si="0"/>
        <v>204</v>
      </c>
    </row>
    <row r="35" spans="1:35" x14ac:dyDescent="0.25">
      <c r="A35" s="11" t="s">
        <v>31</v>
      </c>
      <c r="B35" s="20" t="s">
        <v>82</v>
      </c>
      <c r="C35" s="20" t="s">
        <v>83</v>
      </c>
      <c r="D35" s="11"/>
      <c r="E35" s="11"/>
      <c r="F35" s="35">
        <f>'Jan 2026'!AL35</f>
        <v>179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34">
        <f t="shared" si="0"/>
        <v>179</v>
      </c>
    </row>
    <row r="36" spans="1:35" x14ac:dyDescent="0.25">
      <c r="A36" s="11" t="s">
        <v>31</v>
      </c>
      <c r="B36" s="20" t="s">
        <v>84</v>
      </c>
      <c r="C36" s="20" t="s">
        <v>85</v>
      </c>
      <c r="D36" s="11"/>
      <c r="E36" s="11"/>
      <c r="F36" s="35">
        <f>'Jan 2026'!AL36</f>
        <v>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34">
        <f t="shared" si="0"/>
        <v>0</v>
      </c>
    </row>
    <row r="37" spans="1:35" x14ac:dyDescent="0.25">
      <c r="A37" s="11" t="s">
        <v>31</v>
      </c>
      <c r="B37" s="20" t="s">
        <v>86</v>
      </c>
      <c r="C37" s="20" t="s">
        <v>87</v>
      </c>
      <c r="D37" s="11"/>
      <c r="E37" s="11"/>
      <c r="F37" s="35">
        <f>'Jan 2026'!AL37</f>
        <v>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34">
        <f t="shared" si="0"/>
        <v>0</v>
      </c>
    </row>
    <row r="38" spans="1:35" x14ac:dyDescent="0.25">
      <c r="A38" s="11" t="s">
        <v>31</v>
      </c>
      <c r="B38" s="20" t="s">
        <v>88</v>
      </c>
      <c r="C38" s="20" t="s">
        <v>89</v>
      </c>
      <c r="D38" s="11"/>
      <c r="E38" s="11"/>
      <c r="F38" s="35">
        <f>'Jan 2026'!AL38</f>
        <v>139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34">
        <f t="shared" si="0"/>
        <v>139</v>
      </c>
    </row>
    <row r="39" spans="1:35" x14ac:dyDescent="0.25">
      <c r="A39" s="11" t="s">
        <v>31</v>
      </c>
      <c r="B39" s="20" t="s">
        <v>90</v>
      </c>
      <c r="C39" s="20" t="s">
        <v>91</v>
      </c>
      <c r="D39" s="11"/>
      <c r="E39" s="11"/>
      <c r="F39" s="35">
        <f>'Jan 2026'!AL39</f>
        <v>100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34">
        <f t="shared" si="0"/>
        <v>100</v>
      </c>
    </row>
    <row r="40" spans="1:35" x14ac:dyDescent="0.25">
      <c r="A40" s="11" t="s">
        <v>31</v>
      </c>
      <c r="B40" s="20" t="s">
        <v>92</v>
      </c>
      <c r="C40" s="20" t="s">
        <v>93</v>
      </c>
      <c r="D40" s="11"/>
      <c r="E40" s="11"/>
      <c r="F40" s="35">
        <f>'Jan 2026'!AL40</f>
        <v>500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34">
        <f t="shared" si="0"/>
        <v>500</v>
      </c>
    </row>
    <row r="41" spans="1:35" x14ac:dyDescent="0.25">
      <c r="A41" s="11" t="s">
        <v>31</v>
      </c>
      <c r="B41" s="20" t="s">
        <v>94</v>
      </c>
      <c r="C41" s="20" t="s">
        <v>95</v>
      </c>
      <c r="D41" s="11"/>
      <c r="E41" s="11"/>
      <c r="F41" s="35">
        <f>'Jan 2026'!AL41</f>
        <v>26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34">
        <f t="shared" si="0"/>
        <v>26</v>
      </c>
    </row>
    <row r="42" spans="1:35" x14ac:dyDescent="0.25">
      <c r="A42" s="11" t="s">
        <v>31</v>
      </c>
      <c r="B42" s="20" t="s">
        <v>96</v>
      </c>
      <c r="C42" s="20" t="s">
        <v>97</v>
      </c>
      <c r="D42" s="11"/>
      <c r="E42" s="11"/>
      <c r="F42" s="35">
        <f>'Jan 2026'!AL42</f>
        <v>40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34">
        <f t="shared" si="0"/>
        <v>40</v>
      </c>
    </row>
    <row r="43" spans="1:35" x14ac:dyDescent="0.25">
      <c r="A43" s="11" t="s">
        <v>31</v>
      </c>
      <c r="B43" s="20" t="s">
        <v>98</v>
      </c>
      <c r="C43" s="20" t="s">
        <v>99</v>
      </c>
      <c r="D43" s="11"/>
      <c r="E43" s="11"/>
      <c r="F43" s="35">
        <f>'Jan 2026'!AL43</f>
        <v>96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34">
        <f t="shared" ref="AI43:AI74" si="1">F43+SUM(G43:AH43)</f>
        <v>96</v>
      </c>
    </row>
    <row r="44" spans="1:35" x14ac:dyDescent="0.25">
      <c r="A44" s="11" t="s">
        <v>31</v>
      </c>
      <c r="B44" s="20" t="s">
        <v>100</v>
      </c>
      <c r="C44" s="20" t="s">
        <v>101</v>
      </c>
      <c r="D44" s="11"/>
      <c r="E44" s="11"/>
      <c r="F44" s="35">
        <f>'Jan 2026'!AL44</f>
        <v>41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34">
        <f t="shared" si="1"/>
        <v>41</v>
      </c>
    </row>
    <row r="45" spans="1:35" x14ac:dyDescent="0.25">
      <c r="A45" s="11" t="s">
        <v>31</v>
      </c>
      <c r="B45" s="20" t="s">
        <v>102</v>
      </c>
      <c r="C45" s="20" t="s">
        <v>103</v>
      </c>
      <c r="D45" s="11"/>
      <c r="E45" s="11"/>
      <c r="F45" s="35">
        <f>'Jan 2026'!AL45</f>
        <v>163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34">
        <f t="shared" si="1"/>
        <v>163</v>
      </c>
    </row>
    <row r="46" spans="1:35" x14ac:dyDescent="0.25">
      <c r="A46" s="11" t="s">
        <v>31</v>
      </c>
      <c r="B46" s="20" t="s">
        <v>104</v>
      </c>
      <c r="C46" s="20" t="s">
        <v>105</v>
      </c>
      <c r="D46" s="11"/>
      <c r="E46" s="11"/>
      <c r="F46" s="35">
        <f>'Jan 2026'!AL46</f>
        <v>45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34">
        <f t="shared" si="1"/>
        <v>45</v>
      </c>
    </row>
    <row r="47" spans="1:35" x14ac:dyDescent="0.25">
      <c r="A47" s="11" t="s">
        <v>31</v>
      </c>
      <c r="B47" s="20" t="s">
        <v>106</v>
      </c>
      <c r="C47" s="20" t="s">
        <v>107</v>
      </c>
      <c r="D47" s="11"/>
      <c r="E47" s="11"/>
      <c r="F47" s="35">
        <f>'Jan 2026'!AL47</f>
        <v>322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34">
        <f t="shared" si="1"/>
        <v>322</v>
      </c>
    </row>
    <row r="48" spans="1:35" x14ac:dyDescent="0.25">
      <c r="A48" s="11" t="s">
        <v>203</v>
      </c>
      <c r="B48" s="20" t="s">
        <v>108</v>
      </c>
      <c r="C48" s="20" t="s">
        <v>109</v>
      </c>
      <c r="D48" s="11"/>
      <c r="E48" s="11"/>
      <c r="F48" s="35">
        <f>'Jan 2026'!AL48</f>
        <v>1</v>
      </c>
      <c r="G48" s="25"/>
      <c r="H48" s="25"/>
      <c r="I48" s="25"/>
      <c r="J48" s="25"/>
      <c r="K48" s="25">
        <v>-1</v>
      </c>
      <c r="L48" s="25"/>
      <c r="M48" s="25">
        <v>-1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31">
        <v>2</v>
      </c>
      <c r="AB48" s="25"/>
      <c r="AC48" s="25"/>
      <c r="AD48" s="25"/>
      <c r="AE48" s="25"/>
      <c r="AF48" s="25"/>
      <c r="AG48" s="25"/>
      <c r="AH48" s="25"/>
      <c r="AI48" s="34">
        <f t="shared" si="1"/>
        <v>1</v>
      </c>
    </row>
    <row r="49" spans="1:35" x14ac:dyDescent="0.25">
      <c r="A49" s="11" t="s">
        <v>203</v>
      </c>
      <c r="B49" s="20" t="s">
        <v>110</v>
      </c>
      <c r="C49" s="20" t="s">
        <v>111</v>
      </c>
      <c r="D49" s="11"/>
      <c r="E49" s="11"/>
      <c r="F49" s="35">
        <f>'Jan 2026'!AL49</f>
        <v>3</v>
      </c>
      <c r="G49" s="25"/>
      <c r="H49" s="25"/>
      <c r="I49" s="25"/>
      <c r="J49" s="25"/>
      <c r="K49" s="25"/>
      <c r="L49" s="25"/>
      <c r="M49" s="25">
        <v>-1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>
        <v>-1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34">
        <f t="shared" si="1"/>
        <v>1</v>
      </c>
    </row>
    <row r="50" spans="1:35" x14ac:dyDescent="0.25">
      <c r="A50" s="11" t="s">
        <v>32</v>
      </c>
      <c r="B50" s="20" t="s">
        <v>112</v>
      </c>
      <c r="C50" s="20" t="s">
        <v>113</v>
      </c>
      <c r="D50" s="11"/>
      <c r="E50" s="11"/>
      <c r="F50" s="35">
        <f>'Jan 2026'!AL50</f>
        <v>0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34">
        <f t="shared" si="1"/>
        <v>0</v>
      </c>
    </row>
    <row r="51" spans="1:35" x14ac:dyDescent="0.25">
      <c r="A51" s="11" t="s">
        <v>32</v>
      </c>
      <c r="B51" s="20" t="s">
        <v>114</v>
      </c>
      <c r="C51" s="20" t="s">
        <v>115</v>
      </c>
      <c r="D51" s="11"/>
      <c r="E51" s="11"/>
      <c r="F51" s="35">
        <f>'Jan 2026'!AL51</f>
        <v>0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34">
        <f t="shared" si="1"/>
        <v>0</v>
      </c>
    </row>
    <row r="52" spans="1:35" x14ac:dyDescent="0.25">
      <c r="A52" s="11" t="s">
        <v>203</v>
      </c>
      <c r="B52" s="20" t="s">
        <v>116</v>
      </c>
      <c r="C52" s="20" t="s">
        <v>117</v>
      </c>
      <c r="D52" s="11"/>
      <c r="E52" s="11"/>
      <c r="F52" s="35">
        <f>'Jan 2026'!AL52</f>
        <v>2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34">
        <f t="shared" si="1"/>
        <v>2</v>
      </c>
    </row>
    <row r="53" spans="1:35" x14ac:dyDescent="0.25">
      <c r="A53" s="11" t="s">
        <v>203</v>
      </c>
      <c r="B53" s="20" t="s">
        <v>118</v>
      </c>
      <c r="C53" s="20" t="s">
        <v>119</v>
      </c>
      <c r="D53" s="11"/>
      <c r="E53" s="11"/>
      <c r="F53" s="35">
        <f>'Jan 2026'!AL53</f>
        <v>0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34">
        <f t="shared" si="1"/>
        <v>0</v>
      </c>
    </row>
    <row r="54" spans="1:35" x14ac:dyDescent="0.25">
      <c r="A54" s="11" t="s">
        <v>203</v>
      </c>
      <c r="B54" s="20" t="s">
        <v>120</v>
      </c>
      <c r="C54" s="20" t="s">
        <v>121</v>
      </c>
      <c r="D54" s="11"/>
      <c r="E54" s="11"/>
      <c r="F54" s="35">
        <f>'Jan 2026'!AL54</f>
        <v>1</v>
      </c>
      <c r="G54" s="25"/>
      <c r="H54" s="25"/>
      <c r="I54" s="25"/>
      <c r="J54" s="25"/>
      <c r="K54" s="25"/>
      <c r="L54" s="25"/>
      <c r="M54" s="25"/>
      <c r="N54" s="25"/>
      <c r="O54" s="25">
        <v>-1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34">
        <f t="shared" si="1"/>
        <v>0</v>
      </c>
    </row>
    <row r="55" spans="1:35" x14ac:dyDescent="0.25">
      <c r="A55" s="11" t="s">
        <v>203</v>
      </c>
      <c r="B55" s="20" t="s">
        <v>122</v>
      </c>
      <c r="C55" s="20" t="s">
        <v>123</v>
      </c>
      <c r="D55" s="11"/>
      <c r="E55" s="11"/>
      <c r="F55" s="35">
        <f>'Jan 2026'!AL55</f>
        <v>5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34">
        <f t="shared" si="1"/>
        <v>5</v>
      </c>
    </row>
    <row r="56" spans="1:35" x14ac:dyDescent="0.25">
      <c r="A56" s="11" t="s">
        <v>203</v>
      </c>
      <c r="B56" s="20" t="s">
        <v>124</v>
      </c>
      <c r="C56" s="20" t="s">
        <v>125</v>
      </c>
      <c r="D56" s="11"/>
      <c r="E56" s="11"/>
      <c r="F56" s="35">
        <f>'Jan 2026'!AL56</f>
        <v>0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31">
        <v>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34">
        <f t="shared" si="1"/>
        <v>3</v>
      </c>
    </row>
    <row r="57" spans="1:35" x14ac:dyDescent="0.25">
      <c r="A57" s="11"/>
      <c r="B57" s="20" t="s">
        <v>126</v>
      </c>
      <c r="C57" s="20" t="s">
        <v>127</v>
      </c>
      <c r="D57" s="11"/>
      <c r="E57" s="11"/>
      <c r="F57" s="35">
        <f>'Jan 2026'!AL57</f>
        <v>0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34">
        <f t="shared" si="1"/>
        <v>0</v>
      </c>
    </row>
    <row r="58" spans="1:35" x14ac:dyDescent="0.25">
      <c r="A58" s="11"/>
      <c r="B58" s="20" t="s">
        <v>128</v>
      </c>
      <c r="C58" s="20" t="s">
        <v>129</v>
      </c>
      <c r="D58" s="11"/>
      <c r="E58" s="11"/>
      <c r="F58" s="35">
        <f>'Jan 2026'!AL58</f>
        <v>0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34">
        <f t="shared" si="1"/>
        <v>0</v>
      </c>
    </row>
    <row r="59" spans="1:35" x14ac:dyDescent="0.25">
      <c r="A59" s="11" t="s">
        <v>203</v>
      </c>
      <c r="B59" s="20" t="s">
        <v>130</v>
      </c>
      <c r="C59" s="20" t="s">
        <v>131</v>
      </c>
      <c r="D59" s="11"/>
      <c r="E59" s="11"/>
      <c r="F59" s="35">
        <f>'Jan 2026'!AL59</f>
        <v>189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>
        <v>-2</v>
      </c>
      <c r="S59" s="25">
        <v>-20</v>
      </c>
      <c r="T59" s="25"/>
      <c r="U59" s="25"/>
      <c r="V59" s="25"/>
      <c r="W59" s="25"/>
      <c r="X59" s="25"/>
      <c r="Y59" s="25"/>
      <c r="Z59" s="25"/>
      <c r="AA59" s="25">
        <v>-20</v>
      </c>
      <c r="AB59" s="25"/>
      <c r="AC59" s="25"/>
      <c r="AD59" s="25"/>
      <c r="AE59" s="25"/>
      <c r="AF59" s="25"/>
      <c r="AG59" s="25">
        <v>-40</v>
      </c>
      <c r="AH59" s="25"/>
      <c r="AI59" s="34">
        <f t="shared" si="1"/>
        <v>107</v>
      </c>
    </row>
    <row r="60" spans="1:35" x14ac:dyDescent="0.25">
      <c r="A60" s="11"/>
      <c r="B60" s="20" t="s">
        <v>132</v>
      </c>
      <c r="C60" s="20" t="s">
        <v>133</v>
      </c>
      <c r="D60" s="11"/>
      <c r="E60" s="11"/>
      <c r="F60" s="35">
        <f>'Jan 2026'!AL60</f>
        <v>4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34">
        <f t="shared" si="1"/>
        <v>4</v>
      </c>
    </row>
    <row r="61" spans="1:35" x14ac:dyDescent="0.25">
      <c r="A61" s="11"/>
      <c r="B61" s="20" t="s">
        <v>134</v>
      </c>
      <c r="C61" s="20" t="s">
        <v>135</v>
      </c>
      <c r="D61" s="11"/>
      <c r="E61" s="11"/>
      <c r="F61" s="35">
        <f>'Jan 2026'!AL61</f>
        <v>0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34">
        <f t="shared" si="1"/>
        <v>0</v>
      </c>
    </row>
    <row r="62" spans="1:35" x14ac:dyDescent="0.25">
      <c r="A62" s="11" t="s">
        <v>203</v>
      </c>
      <c r="B62" s="20"/>
      <c r="C62" s="20" t="s">
        <v>136</v>
      </c>
      <c r="D62" s="11"/>
      <c r="E62" s="11"/>
      <c r="F62" s="35">
        <f>'Jan 2026'!AL62</f>
        <v>4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34">
        <f t="shared" si="1"/>
        <v>4</v>
      </c>
    </row>
    <row r="63" spans="1:35" x14ac:dyDescent="0.25">
      <c r="A63" s="11" t="s">
        <v>203</v>
      </c>
      <c r="B63" s="20" t="s">
        <v>137</v>
      </c>
      <c r="C63" s="20" t="s">
        <v>138</v>
      </c>
      <c r="D63" s="11"/>
      <c r="E63" s="11"/>
      <c r="F63" s="35">
        <f>'Jan 2026'!AL63</f>
        <v>1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34">
        <f t="shared" si="1"/>
        <v>1</v>
      </c>
    </row>
    <row r="64" spans="1:35" x14ac:dyDescent="0.25">
      <c r="A64" s="11" t="s">
        <v>203</v>
      </c>
      <c r="B64" s="20" t="s">
        <v>139</v>
      </c>
      <c r="C64" s="20" t="s">
        <v>140</v>
      </c>
      <c r="D64" s="11"/>
      <c r="E64" s="11"/>
      <c r="F64" s="35">
        <f>'Jan 2026'!AL64</f>
        <v>110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>
        <v>-1</v>
      </c>
      <c r="W64" s="25"/>
      <c r="X64" s="25"/>
      <c r="Y64" s="25"/>
      <c r="Z64" s="25"/>
      <c r="AA64" s="25">
        <v>-30</v>
      </c>
      <c r="AB64" s="25"/>
      <c r="AC64" s="25"/>
      <c r="AD64" s="25"/>
      <c r="AE64" s="25"/>
      <c r="AF64" s="25"/>
      <c r="AG64" s="25">
        <f>-18+-20</f>
        <v>-38</v>
      </c>
      <c r="AH64" s="25">
        <v>-18</v>
      </c>
      <c r="AI64" s="34">
        <f t="shared" si="1"/>
        <v>23</v>
      </c>
    </row>
    <row r="65" spans="1:35" x14ac:dyDescent="0.25">
      <c r="A65" s="11" t="s">
        <v>203</v>
      </c>
      <c r="B65" s="20"/>
      <c r="C65" s="20" t="s">
        <v>141</v>
      </c>
      <c r="D65" s="11"/>
      <c r="E65" s="11"/>
      <c r="F65" s="35">
        <f>'Jan 2026'!AL65</f>
        <v>12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>
        <v>-5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34">
        <f t="shared" si="1"/>
        <v>7</v>
      </c>
    </row>
    <row r="66" spans="1:35" x14ac:dyDescent="0.25">
      <c r="A66" s="11" t="s">
        <v>203</v>
      </c>
      <c r="B66" s="20"/>
      <c r="C66" s="20" t="s">
        <v>142</v>
      </c>
      <c r="D66" s="11"/>
      <c r="E66" s="11"/>
      <c r="F66" s="35">
        <f>'Jan 2026'!AL66</f>
        <v>98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34">
        <f t="shared" si="1"/>
        <v>98</v>
      </c>
    </row>
    <row r="67" spans="1:35" x14ac:dyDescent="0.25">
      <c r="A67" s="11" t="s">
        <v>204</v>
      </c>
      <c r="B67" s="20" t="s">
        <v>143</v>
      </c>
      <c r="C67" s="20" t="s">
        <v>144</v>
      </c>
      <c r="D67" s="11"/>
      <c r="E67" s="11"/>
      <c r="F67" s="35">
        <f>'Jan 2026'!AL67</f>
        <v>1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>
        <v>-1</v>
      </c>
      <c r="AH67" s="25"/>
      <c r="AI67" s="34">
        <f t="shared" si="1"/>
        <v>0</v>
      </c>
    </row>
    <row r="68" spans="1:35" x14ac:dyDescent="0.25">
      <c r="A68" s="11" t="s">
        <v>203</v>
      </c>
      <c r="B68" s="20" t="s">
        <v>145</v>
      </c>
      <c r="C68" s="20" t="s">
        <v>146</v>
      </c>
      <c r="D68" s="11"/>
      <c r="E68" s="11"/>
      <c r="F68" s="35">
        <f>'Jan 2026'!AL68</f>
        <v>0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34">
        <f t="shared" si="1"/>
        <v>0</v>
      </c>
    </row>
    <row r="69" spans="1:35" x14ac:dyDescent="0.25">
      <c r="A69" s="11" t="s">
        <v>203</v>
      </c>
      <c r="B69" s="20" t="s">
        <v>147</v>
      </c>
      <c r="C69" s="20" t="s">
        <v>148</v>
      </c>
      <c r="D69" s="11"/>
      <c r="E69" s="11"/>
      <c r="F69" s="35">
        <f>'Jan 2026'!AL69</f>
        <v>1</v>
      </c>
      <c r="G69" s="25"/>
      <c r="H69" s="25"/>
      <c r="I69" s="25">
        <v>-1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34">
        <f t="shared" si="1"/>
        <v>0</v>
      </c>
    </row>
    <row r="70" spans="1:35" x14ac:dyDescent="0.25">
      <c r="A70" s="11" t="s">
        <v>203</v>
      </c>
      <c r="B70" s="20" t="s">
        <v>149</v>
      </c>
      <c r="C70" s="20" t="s">
        <v>150</v>
      </c>
      <c r="D70" s="11"/>
      <c r="E70" s="11"/>
      <c r="F70" s="35">
        <f>'Jan 2026'!AL70</f>
        <v>10</v>
      </c>
      <c r="G70" s="25"/>
      <c r="H70" s="25">
        <v>-1</v>
      </c>
      <c r="I70" s="25"/>
      <c r="J70" s="25"/>
      <c r="K70" s="25"/>
      <c r="L70" s="25">
        <v>-1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>
        <v>-1</v>
      </c>
      <c r="AB70" s="25"/>
      <c r="AC70" s="25"/>
      <c r="AD70" s="25"/>
      <c r="AE70" s="25"/>
      <c r="AF70" s="25"/>
      <c r="AG70" s="25"/>
      <c r="AH70" s="25"/>
      <c r="AI70" s="34">
        <f t="shared" si="1"/>
        <v>7</v>
      </c>
    </row>
    <row r="71" spans="1:35" x14ac:dyDescent="0.25">
      <c r="A71" s="11" t="s">
        <v>203</v>
      </c>
      <c r="B71" s="20" t="s">
        <v>151</v>
      </c>
      <c r="C71" s="20" t="s">
        <v>152</v>
      </c>
      <c r="D71" s="11"/>
      <c r="E71" s="11"/>
      <c r="F71" s="35">
        <f>'Jan 2026'!AL71</f>
        <v>2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34">
        <f t="shared" si="1"/>
        <v>2</v>
      </c>
    </row>
    <row r="72" spans="1:35" x14ac:dyDescent="0.25">
      <c r="A72" s="11" t="s">
        <v>203</v>
      </c>
      <c r="B72" s="20" t="s">
        <v>153</v>
      </c>
      <c r="C72" s="20" t="s">
        <v>154</v>
      </c>
      <c r="D72" s="11"/>
      <c r="E72" s="11"/>
      <c r="F72" s="35">
        <f>'Jan 2026'!AL72</f>
        <v>5</v>
      </c>
      <c r="G72" s="25"/>
      <c r="H72" s="25"/>
      <c r="I72" s="25">
        <v>-1</v>
      </c>
      <c r="J72" s="25"/>
      <c r="K72" s="25"/>
      <c r="L72" s="25">
        <v>-1</v>
      </c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34">
        <f t="shared" si="1"/>
        <v>3</v>
      </c>
    </row>
    <row r="73" spans="1:35" x14ac:dyDescent="0.25">
      <c r="A73" s="11"/>
      <c r="B73" s="20" t="s">
        <v>155</v>
      </c>
      <c r="C73" s="20" t="s">
        <v>156</v>
      </c>
      <c r="D73" s="11"/>
      <c r="E73" s="11"/>
      <c r="F73" s="35">
        <f>'Jan 2026'!AL73</f>
        <v>4</v>
      </c>
      <c r="G73" s="25"/>
      <c r="H73" s="25"/>
      <c r="I73" s="25"/>
      <c r="J73" s="25"/>
      <c r="K73" s="25"/>
      <c r="L73" s="25">
        <v>-1</v>
      </c>
      <c r="M73" s="25"/>
      <c r="N73" s="25"/>
      <c r="O73" s="25"/>
      <c r="P73" s="25">
        <v>-1</v>
      </c>
      <c r="Q73" s="25"/>
      <c r="R73" s="25"/>
      <c r="S73" s="25"/>
      <c r="T73" s="25"/>
      <c r="U73" s="25"/>
      <c r="V73" s="25"/>
      <c r="W73" s="25"/>
      <c r="X73" s="25"/>
      <c r="Y73" s="25">
        <v>-1</v>
      </c>
      <c r="Z73" s="25"/>
      <c r="AA73" s="25"/>
      <c r="AB73" s="25"/>
      <c r="AC73" s="25"/>
      <c r="AD73" s="25">
        <v>-1</v>
      </c>
      <c r="AE73" s="25"/>
      <c r="AF73" s="25"/>
      <c r="AG73" s="25"/>
      <c r="AH73" s="25"/>
      <c r="AI73" s="34">
        <f t="shared" si="1"/>
        <v>0</v>
      </c>
    </row>
    <row r="74" spans="1:35" x14ac:dyDescent="0.25">
      <c r="A74" s="11"/>
      <c r="B74" s="20" t="s">
        <v>157</v>
      </c>
      <c r="C74" s="20" t="s">
        <v>158</v>
      </c>
      <c r="D74" s="11"/>
      <c r="E74" s="11"/>
      <c r="F74" s="35">
        <f>'Jan 2026'!AL74</f>
        <v>0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34">
        <f t="shared" si="1"/>
        <v>0</v>
      </c>
    </row>
    <row r="75" spans="1:35" x14ac:dyDescent="0.25">
      <c r="A75" s="11"/>
      <c r="B75" s="20" t="s">
        <v>159</v>
      </c>
      <c r="C75" s="20" t="s">
        <v>160</v>
      </c>
      <c r="D75" s="11"/>
      <c r="E75" s="11"/>
      <c r="F75" s="35">
        <f>'Jan 2026'!AL75</f>
        <v>1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34">
        <f t="shared" ref="AI75:AI105" si="2">F75+SUM(G75:AH75)</f>
        <v>1</v>
      </c>
    </row>
    <row r="76" spans="1:35" x14ac:dyDescent="0.25">
      <c r="A76" s="11"/>
      <c r="B76" s="20" t="s">
        <v>161</v>
      </c>
      <c r="C76" s="20" t="s">
        <v>162</v>
      </c>
      <c r="D76" s="11"/>
      <c r="E76" s="11"/>
      <c r="F76" s="35">
        <f>'Jan 2026'!AL76</f>
        <v>4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34">
        <f t="shared" si="2"/>
        <v>4</v>
      </c>
    </row>
    <row r="77" spans="1:35" x14ac:dyDescent="0.25">
      <c r="A77" s="11"/>
      <c r="B77" s="20" t="s">
        <v>163</v>
      </c>
      <c r="C77" s="20" t="s">
        <v>164</v>
      </c>
      <c r="D77" s="11"/>
      <c r="E77" s="11"/>
      <c r="F77" s="35">
        <f>'Jan 2026'!AL77</f>
        <v>0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34">
        <f t="shared" si="2"/>
        <v>0</v>
      </c>
    </row>
    <row r="78" spans="1:35" x14ac:dyDescent="0.25">
      <c r="A78" s="11" t="s">
        <v>32</v>
      </c>
      <c r="B78" s="20" t="s">
        <v>165</v>
      </c>
      <c r="C78" s="20" t="s">
        <v>166</v>
      </c>
      <c r="D78" s="11"/>
      <c r="E78" s="11"/>
      <c r="F78" s="35">
        <f>'Jan 2026'!AL78</f>
        <v>1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34">
        <f t="shared" si="2"/>
        <v>1</v>
      </c>
    </row>
    <row r="79" spans="1:35" x14ac:dyDescent="0.25">
      <c r="A79" s="11"/>
      <c r="B79" s="20" t="s">
        <v>167</v>
      </c>
      <c r="C79" s="20" t="s">
        <v>168</v>
      </c>
      <c r="D79" s="11"/>
      <c r="E79" s="11"/>
      <c r="F79" s="35">
        <f>'Jan 2026'!AL79</f>
        <v>0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34">
        <f t="shared" si="2"/>
        <v>0</v>
      </c>
    </row>
    <row r="80" spans="1:35" x14ac:dyDescent="0.25">
      <c r="A80" s="11"/>
      <c r="B80" s="20" t="s">
        <v>169</v>
      </c>
      <c r="C80" s="20" t="s">
        <v>170</v>
      </c>
      <c r="D80" s="11"/>
      <c r="E80" s="11"/>
      <c r="F80" s="35">
        <f>'Jan 2026'!AL80</f>
        <v>0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36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34">
        <f t="shared" si="2"/>
        <v>0</v>
      </c>
    </row>
    <row r="81" spans="1:35" x14ac:dyDescent="0.25">
      <c r="A81" s="11" t="s">
        <v>204</v>
      </c>
      <c r="B81" s="20" t="s">
        <v>171</v>
      </c>
      <c r="C81" s="20" t="s">
        <v>172</v>
      </c>
      <c r="D81" s="11"/>
      <c r="E81" s="11"/>
      <c r="F81" s="35">
        <f>'Jan 2026'!AL81</f>
        <v>0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34">
        <f t="shared" si="2"/>
        <v>0</v>
      </c>
    </row>
    <row r="82" spans="1:35" x14ac:dyDescent="0.25">
      <c r="A82" s="11" t="s">
        <v>32</v>
      </c>
      <c r="B82" s="20" t="s">
        <v>173</v>
      </c>
      <c r="C82" s="20" t="s">
        <v>174</v>
      </c>
      <c r="D82" s="11"/>
      <c r="E82" s="11"/>
      <c r="F82" s="35">
        <f>'Jan 2026'!AL82</f>
        <v>1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31">
        <v>1</v>
      </c>
      <c r="AG82" s="25">
        <v>-1</v>
      </c>
      <c r="AH82" s="25"/>
      <c r="AI82" s="34">
        <f t="shared" si="2"/>
        <v>1</v>
      </c>
    </row>
    <row r="83" spans="1:35" x14ac:dyDescent="0.25">
      <c r="A83" s="11" t="s">
        <v>33</v>
      </c>
      <c r="B83" s="20" t="s">
        <v>175</v>
      </c>
      <c r="C83" s="20" t="s">
        <v>176</v>
      </c>
      <c r="D83" s="11"/>
      <c r="E83" s="11"/>
      <c r="F83" s="35">
        <f>'Jan 2026'!AL83</f>
        <v>688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34">
        <f t="shared" si="2"/>
        <v>688</v>
      </c>
    </row>
    <row r="84" spans="1:35" x14ac:dyDescent="0.25">
      <c r="A84" s="11" t="s">
        <v>33</v>
      </c>
      <c r="B84" s="20" t="s">
        <v>177</v>
      </c>
      <c r="C84" s="20" t="s">
        <v>178</v>
      </c>
      <c r="D84" s="11"/>
      <c r="E84" s="11"/>
      <c r="F84" s="35">
        <f>'Jan 2026'!AL84</f>
        <v>1501</v>
      </c>
      <c r="G84" s="25"/>
      <c r="H84" s="25">
        <v>-50</v>
      </c>
      <c r="I84" s="25">
        <v>-14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>
        <v>-848</v>
      </c>
      <c r="W84" s="25"/>
      <c r="X84" s="25"/>
      <c r="Y84" s="25">
        <v>-2</v>
      </c>
      <c r="Z84" s="25"/>
      <c r="AA84" s="25"/>
      <c r="AB84" s="25"/>
      <c r="AC84" s="25"/>
      <c r="AD84" s="25"/>
      <c r="AE84" s="25"/>
      <c r="AF84" s="25"/>
      <c r="AG84" s="25"/>
      <c r="AH84" s="25"/>
      <c r="AI84" s="34">
        <f t="shared" si="2"/>
        <v>587</v>
      </c>
    </row>
    <row r="85" spans="1:35" x14ac:dyDescent="0.25">
      <c r="A85" s="11"/>
      <c r="B85" s="20" t="s">
        <v>179</v>
      </c>
      <c r="C85" s="20" t="s">
        <v>180</v>
      </c>
      <c r="D85" s="11"/>
      <c r="E85" s="11"/>
      <c r="F85" s="35">
        <f>'Jan 2026'!AL85</f>
        <v>0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34">
        <f t="shared" si="2"/>
        <v>0</v>
      </c>
    </row>
    <row r="86" spans="1:35" x14ac:dyDescent="0.25">
      <c r="A86" s="11"/>
      <c r="B86" s="20" t="s">
        <v>181</v>
      </c>
      <c r="C86" s="20" t="s">
        <v>182</v>
      </c>
      <c r="D86" s="11"/>
      <c r="E86" s="11"/>
      <c r="F86" s="35">
        <f>'Jan 2026'!AL86</f>
        <v>0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34">
        <f t="shared" si="2"/>
        <v>0</v>
      </c>
    </row>
    <row r="87" spans="1:35" x14ac:dyDescent="0.25">
      <c r="A87" s="11" t="s">
        <v>204</v>
      </c>
      <c r="B87" s="20" t="s">
        <v>183</v>
      </c>
      <c r="C87" s="20" t="s">
        <v>184</v>
      </c>
      <c r="D87" s="11"/>
      <c r="E87" s="11"/>
      <c r="F87" s="35">
        <f>'Jan 2026'!AL87</f>
        <v>0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34">
        <f t="shared" si="2"/>
        <v>0</v>
      </c>
    </row>
    <row r="88" spans="1:35" x14ac:dyDescent="0.25">
      <c r="A88" s="11" t="s">
        <v>204</v>
      </c>
      <c r="B88" s="20" t="s">
        <v>185</v>
      </c>
      <c r="C88" s="20" t="s">
        <v>186</v>
      </c>
      <c r="D88" s="11"/>
      <c r="E88" s="11"/>
      <c r="F88" s="35">
        <f>'Jan 2026'!AL88</f>
        <v>5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31">
        <v>10</v>
      </c>
      <c r="AH88" s="25"/>
      <c r="AI88" s="34">
        <f t="shared" si="2"/>
        <v>15</v>
      </c>
    </row>
    <row r="89" spans="1:35" x14ac:dyDescent="0.25">
      <c r="A89" s="11"/>
      <c r="B89" s="20" t="s">
        <v>187</v>
      </c>
      <c r="C89" s="20" t="s">
        <v>188</v>
      </c>
      <c r="D89" s="11"/>
      <c r="E89" s="11"/>
      <c r="F89" s="35">
        <f>'Jan 2026'!AL89</f>
        <v>0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34">
        <f t="shared" si="2"/>
        <v>0</v>
      </c>
    </row>
    <row r="90" spans="1:35" x14ac:dyDescent="0.25">
      <c r="A90" s="11"/>
      <c r="B90" s="20" t="s">
        <v>189</v>
      </c>
      <c r="C90" s="20" t="s">
        <v>190</v>
      </c>
      <c r="D90" s="11"/>
      <c r="E90" s="11"/>
      <c r="F90" s="35">
        <f>'Jan 2026'!AL90</f>
        <v>0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34">
        <f t="shared" si="2"/>
        <v>0</v>
      </c>
    </row>
    <row r="91" spans="1:35" x14ac:dyDescent="0.25">
      <c r="A91" s="11" t="s">
        <v>204</v>
      </c>
      <c r="B91" s="20" t="s">
        <v>191</v>
      </c>
      <c r="C91" s="20" t="s">
        <v>192</v>
      </c>
      <c r="D91" s="11"/>
      <c r="E91" s="11"/>
      <c r="F91" s="35">
        <f>'Jan 2026'!AL91</f>
        <v>0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34">
        <f t="shared" si="2"/>
        <v>0</v>
      </c>
    </row>
    <row r="92" spans="1:35" x14ac:dyDescent="0.25">
      <c r="A92" s="11"/>
      <c r="B92" s="20" t="s">
        <v>193</v>
      </c>
      <c r="C92" s="20" t="s">
        <v>194</v>
      </c>
      <c r="D92" s="11"/>
      <c r="E92" s="11"/>
      <c r="F92" s="35">
        <f>'Jan 2026'!AL92</f>
        <v>0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34">
        <f t="shared" si="2"/>
        <v>0</v>
      </c>
    </row>
    <row r="93" spans="1:35" x14ac:dyDescent="0.25">
      <c r="A93" s="11"/>
      <c r="B93" s="20" t="s">
        <v>195</v>
      </c>
      <c r="C93" s="20" t="s">
        <v>196</v>
      </c>
      <c r="D93" s="11"/>
      <c r="E93" s="11"/>
      <c r="F93" s="35">
        <f>'Jan 2026'!AL93</f>
        <v>0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34">
        <f t="shared" si="2"/>
        <v>0</v>
      </c>
    </row>
    <row r="94" spans="1:35" x14ac:dyDescent="0.25">
      <c r="A94" s="1"/>
      <c r="B94" s="20" t="s">
        <v>197</v>
      </c>
      <c r="C94" s="20" t="s">
        <v>198</v>
      </c>
      <c r="D94" s="11"/>
      <c r="E94" s="11"/>
      <c r="F94" s="35">
        <f>'Jan 2026'!AL94</f>
        <v>0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34">
        <f t="shared" si="2"/>
        <v>0</v>
      </c>
    </row>
    <row r="95" spans="1:35" x14ac:dyDescent="0.25">
      <c r="A95" s="11" t="s">
        <v>31</v>
      </c>
      <c r="B95" s="20" t="s">
        <v>199</v>
      </c>
      <c r="C95" s="20" t="s">
        <v>200</v>
      </c>
      <c r="D95" s="11"/>
      <c r="E95" s="11"/>
      <c r="F95" s="35">
        <f>'Jan 2026'!AL95</f>
        <v>611</v>
      </c>
      <c r="G95" s="25"/>
      <c r="H95" s="25">
        <v>-50</v>
      </c>
      <c r="I95" s="25"/>
      <c r="J95" s="25">
        <f>-16+-20</f>
        <v>-36</v>
      </c>
      <c r="K95" s="25">
        <v>-18</v>
      </c>
      <c r="L95" s="25"/>
      <c r="M95" s="25"/>
      <c r="N95" s="25"/>
      <c r="O95" s="25"/>
      <c r="P95" s="25"/>
      <c r="Q95" s="25"/>
      <c r="R95" s="25"/>
      <c r="S95" s="25">
        <v>-30</v>
      </c>
      <c r="T95" s="25"/>
      <c r="U95" s="25"/>
      <c r="V95" s="25"/>
      <c r="W95" s="25"/>
      <c r="X95" s="25"/>
      <c r="Y95" s="25">
        <v>-2</v>
      </c>
      <c r="Z95" s="25">
        <f>-44+-24</f>
        <v>-68</v>
      </c>
      <c r="AA95" s="25"/>
      <c r="AB95" s="25"/>
      <c r="AC95" s="25"/>
      <c r="AD95" s="25">
        <v>-22</v>
      </c>
      <c r="AE95" s="25">
        <v>-50</v>
      </c>
      <c r="AF95" s="25"/>
      <c r="AG95" s="25"/>
      <c r="AH95" s="25"/>
      <c r="AI95" s="34">
        <f t="shared" si="2"/>
        <v>335</v>
      </c>
    </row>
    <row r="96" spans="1:35" x14ac:dyDescent="0.25">
      <c r="A96" s="11" t="s">
        <v>31</v>
      </c>
      <c r="B96" s="20" t="s">
        <v>201</v>
      </c>
      <c r="C96" s="20" t="s">
        <v>202</v>
      </c>
      <c r="D96" s="11"/>
      <c r="E96" s="11"/>
      <c r="F96" s="35">
        <f>'Jan 2026'!AL96</f>
        <v>861</v>
      </c>
      <c r="G96" s="25"/>
      <c r="H96" s="25"/>
      <c r="I96" s="25"/>
      <c r="J96" s="25"/>
      <c r="K96" s="25"/>
      <c r="L96" s="25"/>
      <c r="M96" s="25"/>
      <c r="N96" s="25"/>
      <c r="O96" s="25">
        <v>-32</v>
      </c>
      <c r="P96" s="25"/>
      <c r="Q96" s="25"/>
      <c r="R96" s="25"/>
      <c r="S96" s="25"/>
      <c r="T96" s="25"/>
      <c r="U96" s="25"/>
      <c r="V96" s="25"/>
      <c r="W96" s="25"/>
      <c r="X96" s="25">
        <v>-92</v>
      </c>
      <c r="Y96" s="25"/>
      <c r="Z96" s="25"/>
      <c r="AA96" s="31">
        <v>1000</v>
      </c>
      <c r="AB96" s="25"/>
      <c r="AC96" s="25">
        <v>-88</v>
      </c>
      <c r="AD96" s="25"/>
      <c r="AE96" s="25"/>
      <c r="AF96" s="25"/>
      <c r="AG96" s="25"/>
      <c r="AH96" s="25"/>
      <c r="AI96" s="34">
        <f t="shared" si="2"/>
        <v>1649</v>
      </c>
    </row>
    <row r="97" spans="1:38" x14ac:dyDescent="0.25">
      <c r="A97" s="11"/>
      <c r="B97" s="20"/>
      <c r="C97" s="20"/>
      <c r="D97" s="11"/>
      <c r="E97" s="11"/>
      <c r="F97" s="1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34">
        <f t="shared" si="2"/>
        <v>0</v>
      </c>
    </row>
    <row r="98" spans="1:38" x14ac:dyDescent="0.25">
      <c r="A98" s="11"/>
      <c r="B98" s="20"/>
      <c r="C98" s="20"/>
      <c r="D98" s="11"/>
      <c r="E98" s="11"/>
      <c r="F98" s="11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34">
        <f t="shared" si="2"/>
        <v>0</v>
      </c>
    </row>
    <row r="99" spans="1:38" x14ac:dyDescent="0.25">
      <c r="A99" s="11"/>
      <c r="B99" s="20"/>
      <c r="C99" s="20"/>
      <c r="D99" s="11"/>
      <c r="E99" s="11"/>
      <c r="F99" s="11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34">
        <f t="shared" si="2"/>
        <v>0</v>
      </c>
    </row>
    <row r="100" spans="1:38" x14ac:dyDescent="0.25">
      <c r="A100" s="11"/>
      <c r="B100" s="20"/>
      <c r="C100" s="20"/>
      <c r="D100" s="11"/>
      <c r="E100" s="11"/>
      <c r="F100" s="11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34">
        <f t="shared" si="2"/>
        <v>0</v>
      </c>
    </row>
    <row r="101" spans="1:38" x14ac:dyDescent="0.25">
      <c r="A101" s="11"/>
      <c r="B101" s="20"/>
      <c r="C101" s="20"/>
      <c r="D101" s="11"/>
      <c r="E101" s="11"/>
      <c r="F101" s="11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34">
        <f t="shared" si="2"/>
        <v>0</v>
      </c>
    </row>
    <row r="102" spans="1:38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34">
        <f t="shared" si="2"/>
        <v>0</v>
      </c>
    </row>
    <row r="103" spans="1:38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34">
        <f t="shared" si="2"/>
        <v>0</v>
      </c>
    </row>
    <row r="104" spans="1:38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6">
        <f t="shared" si="2"/>
        <v>0</v>
      </c>
    </row>
    <row r="105" spans="1:38" ht="15.75" thickBot="1" x14ac:dyDescent="0.3">
      <c r="A105" s="1"/>
      <c r="B105" s="2"/>
      <c r="C105" s="2"/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26">
        <f t="shared" si="2"/>
        <v>0</v>
      </c>
      <c r="AJ105" s="1"/>
      <c r="AK105" s="1"/>
      <c r="AL105" s="1"/>
    </row>
    <row r="106" spans="1:38" ht="32.25" thickBot="1" x14ac:dyDescent="0.3">
      <c r="A106" s="1"/>
      <c r="B106" s="6" t="s">
        <v>21</v>
      </c>
      <c r="C106" s="18"/>
      <c r="D106" s="19"/>
      <c r="E106" s="9" t="s">
        <v>22</v>
      </c>
      <c r="F106" s="22" t="s">
        <v>23</v>
      </c>
      <c r="G106" s="27" t="s">
        <v>24</v>
      </c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26"/>
      <c r="AJ106" s="1"/>
      <c r="AK106" s="1"/>
      <c r="AL106" s="1"/>
    </row>
    <row r="107" spans="1:38" ht="16.5" thickBot="1" x14ac:dyDescent="0.3">
      <c r="A107" s="1"/>
      <c r="B107" s="7" t="s">
        <v>25</v>
      </c>
      <c r="C107" s="19"/>
      <c r="D107" s="19"/>
      <c r="E107" s="8"/>
      <c r="F107" s="21"/>
      <c r="G107" s="54"/>
      <c r="H107" s="5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26"/>
      <c r="AJ107" s="1"/>
      <c r="AK107" s="1"/>
      <c r="AL107" s="1"/>
    </row>
    <row r="108" spans="1:38" ht="16.5" thickBot="1" x14ac:dyDescent="0.3">
      <c r="A108" s="1"/>
      <c r="B108" s="7" t="s">
        <v>26</v>
      </c>
      <c r="C108" s="19"/>
      <c r="D108" s="19"/>
      <c r="E108" s="9"/>
      <c r="F108" s="22"/>
      <c r="G108" s="56"/>
      <c r="H108" s="5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26"/>
      <c r="AJ108" s="1"/>
      <c r="AK108" s="1"/>
      <c r="AL108" s="1"/>
    </row>
    <row r="109" spans="1:38" ht="16.5" thickBot="1" x14ac:dyDescent="0.3">
      <c r="A109" s="1"/>
      <c r="B109" s="7" t="s">
        <v>27</v>
      </c>
      <c r="C109" s="19"/>
      <c r="D109" s="19"/>
      <c r="E109" s="10"/>
      <c r="F109" s="23"/>
      <c r="G109" s="58"/>
      <c r="H109" s="5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26"/>
      <c r="AJ109" s="1"/>
      <c r="AK109" s="1"/>
      <c r="AL109" s="1"/>
    </row>
    <row r="110" spans="1:38" ht="15.75" x14ac:dyDescent="0.25">
      <c r="A110" s="1"/>
      <c r="B110" s="60" t="s">
        <v>28</v>
      </c>
      <c r="C110" s="16"/>
      <c r="D110" s="16"/>
      <c r="E110" s="63"/>
      <c r="F110" s="66"/>
      <c r="G110" s="69"/>
      <c r="H110" s="7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26"/>
      <c r="AJ110" s="1"/>
      <c r="AK110" s="1"/>
      <c r="AL110" s="1"/>
    </row>
    <row r="111" spans="1:38" ht="15.75" x14ac:dyDescent="0.25">
      <c r="A111" s="1"/>
      <c r="B111" s="61"/>
      <c r="C111" s="17"/>
      <c r="D111" s="17"/>
      <c r="E111" s="64"/>
      <c r="F111" s="67"/>
      <c r="G111" s="69"/>
      <c r="H111" s="7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26"/>
      <c r="AJ111" s="1"/>
      <c r="AK111" s="1"/>
      <c r="AL111" s="1"/>
    </row>
    <row r="112" spans="1:38" ht="16.5" thickBot="1" x14ac:dyDescent="0.3">
      <c r="A112" s="1"/>
      <c r="B112" s="62"/>
      <c r="C112" s="7"/>
      <c r="D112" s="7"/>
      <c r="E112" s="65"/>
      <c r="F112" s="68"/>
      <c r="G112" s="71"/>
      <c r="H112" s="7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</sheetData>
  <autoFilter ref="A10:AL112" xr:uid="{0389DD10-0AC2-461A-BA2F-54E478B0327A}"/>
  <mergeCells count="24">
    <mergeCell ref="G107:H107"/>
    <mergeCell ref="G108:H108"/>
    <mergeCell ref="G109:H109"/>
    <mergeCell ref="B110:B112"/>
    <mergeCell ref="E110:E112"/>
    <mergeCell ref="F110:F112"/>
    <mergeCell ref="G110:H11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I11:AI111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9EF2-AC87-4C06-A74B-A05E5E4ACE12}">
  <sheetPr filterMode="1"/>
  <dimension ref="A1:AP113"/>
  <sheetViews>
    <sheetView workbookViewId="0">
      <pane xSplit="4" ySplit="10" topLeftCell="L66" activePane="bottomRight" state="frozen"/>
      <selection pane="topRight" activeCell="E1" sqref="E1"/>
      <selection pane="bottomLeft" activeCell="A11" sqref="A11"/>
      <selection pane="bottomRight" activeCell="Z86" sqref="Z86"/>
    </sheetView>
  </sheetViews>
  <sheetFormatPr defaultRowHeight="15" x14ac:dyDescent="0.25"/>
  <cols>
    <col min="2" max="2" width="12.7109375" bestFit="1" customWidth="1"/>
    <col min="3" max="3" width="53.7109375" bestFit="1" customWidth="1"/>
  </cols>
  <sheetData>
    <row r="1" spans="1:42" ht="22.5" x14ac:dyDescent="0.25">
      <c r="E1" s="37" t="s">
        <v>29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42" x14ac:dyDescent="0.25">
      <c r="E2" s="38" t="s">
        <v>30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42" ht="15.75" x14ac:dyDescent="0.25">
      <c r="E3" s="41" t="s">
        <v>0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42" x14ac:dyDescent="0.25">
      <c r="E4" s="42" t="s">
        <v>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42" ht="15.75" x14ac:dyDescent="0.25">
      <c r="E5" s="43" t="s">
        <v>2</v>
      </c>
      <c r="F5" s="43"/>
      <c r="G5" s="43"/>
      <c r="H5" s="44" t="s">
        <v>3</v>
      </c>
      <c r="I5" s="45"/>
      <c r="J5" s="46"/>
      <c r="K5" s="47" t="s">
        <v>4</v>
      </c>
      <c r="L5" s="47"/>
      <c r="M5" s="11">
        <v>0</v>
      </c>
      <c r="N5" s="48" t="s">
        <v>5</v>
      </c>
      <c r="O5" s="48"/>
      <c r="P5" s="49"/>
      <c r="Q5" s="50"/>
    </row>
    <row r="6" spans="1:42" ht="15.75" x14ac:dyDescent="0.25">
      <c r="E6" s="43" t="s">
        <v>6</v>
      </c>
      <c r="F6" s="43"/>
      <c r="G6" s="43"/>
      <c r="H6" s="51" t="s">
        <v>7</v>
      </c>
      <c r="I6" s="51"/>
      <c r="J6" s="51"/>
      <c r="K6" s="47" t="s">
        <v>8</v>
      </c>
      <c r="L6" s="47"/>
      <c r="M6" s="52" t="s">
        <v>9</v>
      </c>
      <c r="N6" s="52"/>
      <c r="O6" s="52"/>
      <c r="P6" s="52"/>
      <c r="Q6" s="52"/>
    </row>
    <row r="7" spans="1:42" ht="15.75" x14ac:dyDescent="0.25">
      <c r="E7" s="47" t="s">
        <v>10</v>
      </c>
      <c r="F7" s="47"/>
      <c r="G7" s="47"/>
      <c r="H7" s="53"/>
      <c r="I7" s="53"/>
      <c r="J7" s="53"/>
      <c r="K7" s="47" t="s">
        <v>11</v>
      </c>
      <c r="L7" s="47"/>
      <c r="M7" s="52"/>
      <c r="N7" s="52"/>
      <c r="O7" s="52"/>
      <c r="P7" s="52"/>
      <c r="Q7" s="52"/>
    </row>
    <row r="9" spans="1:42" x14ac:dyDescent="0.25">
      <c r="A9" t="s">
        <v>12</v>
      </c>
    </row>
    <row r="10" spans="1:42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205</v>
      </c>
      <c r="G10" s="32">
        <v>46082</v>
      </c>
      <c r="H10" s="32">
        <v>46083</v>
      </c>
      <c r="I10" s="32">
        <v>46084</v>
      </c>
      <c r="J10" s="32">
        <v>46085</v>
      </c>
      <c r="K10" s="32">
        <v>46086</v>
      </c>
      <c r="L10" s="32">
        <v>46087</v>
      </c>
      <c r="M10" s="32">
        <v>46088</v>
      </c>
      <c r="N10" s="32">
        <v>46089</v>
      </c>
      <c r="O10" s="32">
        <v>46090</v>
      </c>
      <c r="P10" s="32">
        <v>46091</v>
      </c>
      <c r="Q10" s="32">
        <v>46092</v>
      </c>
      <c r="R10" s="32">
        <v>46093</v>
      </c>
      <c r="S10" s="32">
        <v>46094</v>
      </c>
      <c r="T10" s="32">
        <v>46095</v>
      </c>
      <c r="U10" s="32">
        <v>46096</v>
      </c>
      <c r="V10" s="32">
        <v>46097</v>
      </c>
      <c r="W10" s="32">
        <v>46098</v>
      </c>
      <c r="X10" s="32">
        <v>46099</v>
      </c>
      <c r="Y10" s="32">
        <v>46100</v>
      </c>
      <c r="Z10" s="32">
        <v>46101</v>
      </c>
      <c r="AA10" s="32">
        <v>46102</v>
      </c>
      <c r="AB10" s="32">
        <v>46103</v>
      </c>
      <c r="AC10" s="32">
        <v>46104</v>
      </c>
      <c r="AD10" s="32">
        <v>46105</v>
      </c>
      <c r="AE10" s="32">
        <v>46106</v>
      </c>
      <c r="AF10" s="32">
        <v>46107</v>
      </c>
      <c r="AG10" s="32">
        <v>46108</v>
      </c>
      <c r="AH10" s="32">
        <v>46109</v>
      </c>
      <c r="AI10" s="32">
        <v>46110</v>
      </c>
      <c r="AJ10" s="32">
        <v>46111</v>
      </c>
      <c r="AK10" s="32">
        <v>46112</v>
      </c>
      <c r="AL10" s="12" t="s">
        <v>207</v>
      </c>
      <c r="AM10" s="3" t="s">
        <v>18</v>
      </c>
      <c r="AN10" s="3" t="s">
        <v>19</v>
      </c>
      <c r="AO10" s="3" t="s">
        <v>20</v>
      </c>
    </row>
    <row r="11" spans="1:42" hidden="1" x14ac:dyDescent="0.25">
      <c r="A11" s="11" t="s">
        <v>31</v>
      </c>
      <c r="B11" s="20" t="s">
        <v>34</v>
      </c>
      <c r="C11" s="20" t="s">
        <v>35</v>
      </c>
      <c r="D11" s="11"/>
      <c r="E11" s="11"/>
      <c r="F11" s="35">
        <f>'Feb 2026'!AI11</f>
        <v>1047</v>
      </c>
      <c r="G11" s="25"/>
      <c r="H11" s="25"/>
      <c r="I11" s="25"/>
      <c r="J11" s="25"/>
      <c r="K11" s="25"/>
      <c r="L11" s="31">
        <v>3000</v>
      </c>
      <c r="M11" s="25">
        <v>-250</v>
      </c>
      <c r="N11" s="25"/>
      <c r="O11" s="25"/>
      <c r="P11" s="25"/>
      <c r="Q11" s="25">
        <v>-100</v>
      </c>
      <c r="R11" s="25"/>
      <c r="S11" s="25">
        <v>-4</v>
      </c>
      <c r="T11" s="25"/>
      <c r="U11" s="25"/>
      <c r="V11" s="25">
        <v>-16</v>
      </c>
      <c r="W11" s="25">
        <v>-58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>
        <v>-28</v>
      </c>
      <c r="AH11" s="25"/>
      <c r="AI11" s="25"/>
      <c r="AJ11" s="25">
        <v>-4</v>
      </c>
      <c r="AK11" s="25"/>
      <c r="AL11" s="34">
        <f>F11+SUM(G11:AK11)</f>
        <v>3587</v>
      </c>
      <c r="AM11">
        <v>200</v>
      </c>
      <c r="AN11">
        <v>250</v>
      </c>
      <c r="AO11">
        <v>1000</v>
      </c>
    </row>
    <row r="12" spans="1:42" hidden="1" x14ac:dyDescent="0.25">
      <c r="A12" s="11" t="s">
        <v>31</v>
      </c>
      <c r="B12" s="20" t="s">
        <v>36</v>
      </c>
      <c r="C12" s="20" t="s">
        <v>37</v>
      </c>
      <c r="D12" s="11"/>
      <c r="E12" s="11"/>
      <c r="F12" s="35">
        <f>'Feb 2026'!AI12</f>
        <v>503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34">
        <f t="shared" ref="AL12:AL75" si="0">F12+SUM(G12:AK12)</f>
        <v>503</v>
      </c>
      <c r="AP12" t="s">
        <v>208</v>
      </c>
    </row>
    <row r="13" spans="1:42" hidden="1" x14ac:dyDescent="0.25">
      <c r="A13" s="11" t="s">
        <v>31</v>
      </c>
      <c r="B13" s="20" t="s">
        <v>38</v>
      </c>
      <c r="C13" s="20" t="s">
        <v>39</v>
      </c>
      <c r="D13" s="11"/>
      <c r="E13" s="11"/>
      <c r="F13" s="35">
        <f>'Feb 2026'!AI13</f>
        <v>315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34">
        <f t="shared" si="0"/>
        <v>315</v>
      </c>
      <c r="AP13" t="s">
        <v>208</v>
      </c>
    </row>
    <row r="14" spans="1:42" hidden="1" x14ac:dyDescent="0.25">
      <c r="A14" s="11" t="s">
        <v>31</v>
      </c>
      <c r="B14" s="20" t="s">
        <v>40</v>
      </c>
      <c r="C14" s="20" t="s">
        <v>41</v>
      </c>
      <c r="D14" s="11"/>
      <c r="E14" s="11"/>
      <c r="F14" s="35">
        <f>'Feb 2026'!AI14</f>
        <v>397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34">
        <f t="shared" si="0"/>
        <v>397</v>
      </c>
      <c r="AP14" t="s">
        <v>208</v>
      </c>
    </row>
    <row r="15" spans="1:42" hidden="1" x14ac:dyDescent="0.25">
      <c r="A15" s="11" t="s">
        <v>31</v>
      </c>
      <c r="B15" s="20" t="s">
        <v>42</v>
      </c>
      <c r="C15" s="20" t="s">
        <v>43</v>
      </c>
      <c r="D15" s="11"/>
      <c r="E15" s="11"/>
      <c r="F15" s="35">
        <f>'Feb 2026'!AI15</f>
        <v>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34">
        <f t="shared" si="0"/>
        <v>0</v>
      </c>
      <c r="AP15" t="s">
        <v>208</v>
      </c>
    </row>
    <row r="16" spans="1:42" hidden="1" x14ac:dyDescent="0.25">
      <c r="A16" s="11" t="s">
        <v>31</v>
      </c>
      <c r="B16" s="20" t="s">
        <v>44</v>
      </c>
      <c r="C16" s="20" t="s">
        <v>45</v>
      </c>
      <c r="D16" s="11"/>
      <c r="E16" s="11"/>
      <c r="F16" s="35">
        <f>'Feb 2026'!AI16</f>
        <v>279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34">
        <f t="shared" si="0"/>
        <v>279</v>
      </c>
      <c r="AM16">
        <v>50</v>
      </c>
      <c r="AN16">
        <v>100</v>
      </c>
      <c r="AO16">
        <v>300</v>
      </c>
    </row>
    <row r="17" spans="1:42" hidden="1" x14ac:dyDescent="0.25">
      <c r="A17" s="11" t="s">
        <v>31</v>
      </c>
      <c r="B17" s="20" t="s">
        <v>46</v>
      </c>
      <c r="C17" s="20" t="s">
        <v>47</v>
      </c>
      <c r="D17" s="11"/>
      <c r="E17" s="11"/>
      <c r="F17" s="35">
        <f>'Feb 2026'!AI17</f>
        <v>850</v>
      </c>
      <c r="G17" s="25"/>
      <c r="H17" s="25"/>
      <c r="I17" s="25"/>
      <c r="J17" s="25">
        <v>-24</v>
      </c>
      <c r="K17" s="25"/>
      <c r="L17" s="25"/>
      <c r="M17" s="31"/>
      <c r="N17" s="25"/>
      <c r="O17" s="25"/>
      <c r="P17" s="25">
        <v>-9</v>
      </c>
      <c r="Q17" s="25">
        <v>-3</v>
      </c>
      <c r="R17" s="25"/>
      <c r="S17" s="25"/>
      <c r="T17" s="25"/>
      <c r="U17" s="25"/>
      <c r="V17" s="25"/>
      <c r="W17" s="25">
        <v>-9</v>
      </c>
      <c r="X17" s="25"/>
      <c r="Y17" s="25"/>
      <c r="Z17" s="31"/>
      <c r="AA17" s="25">
        <v>-3</v>
      </c>
      <c r="AB17" s="25"/>
      <c r="AC17" s="25"/>
      <c r="AD17" s="25"/>
      <c r="AE17" s="25"/>
      <c r="AF17" s="25">
        <v>-3</v>
      </c>
      <c r="AG17" s="25"/>
      <c r="AH17" s="25"/>
      <c r="AI17" s="25"/>
      <c r="AJ17" s="25"/>
      <c r="AK17" s="25"/>
      <c r="AL17" s="34">
        <f t="shared" si="0"/>
        <v>799</v>
      </c>
      <c r="AM17">
        <v>50</v>
      </c>
      <c r="AN17">
        <v>100</v>
      </c>
      <c r="AO17">
        <v>300</v>
      </c>
    </row>
    <row r="18" spans="1:42" hidden="1" x14ac:dyDescent="0.25">
      <c r="A18" s="11" t="s">
        <v>31</v>
      </c>
      <c r="B18" s="20" t="s">
        <v>48</v>
      </c>
      <c r="C18" s="20" t="s">
        <v>49</v>
      </c>
      <c r="D18" s="11"/>
      <c r="E18" s="11"/>
      <c r="F18" s="35">
        <f>'Feb 2026'!AI18</f>
        <v>1190</v>
      </c>
      <c r="G18" s="25"/>
      <c r="H18" s="25"/>
      <c r="I18" s="25">
        <v>-86</v>
      </c>
      <c r="J18" s="25"/>
      <c r="K18" s="25"/>
      <c r="L18" s="25">
        <v>-120</v>
      </c>
      <c r="M18" s="25">
        <v>-50</v>
      </c>
      <c r="N18" s="25"/>
      <c r="O18" s="25">
        <v>-105</v>
      </c>
      <c r="P18" s="25">
        <v>-40</v>
      </c>
      <c r="Q18" s="25"/>
      <c r="R18" s="25">
        <v>-90</v>
      </c>
      <c r="S18" s="25"/>
      <c r="T18" s="25"/>
      <c r="U18" s="25"/>
      <c r="V18" s="25"/>
      <c r="W18" s="25">
        <f>-58+-40+-32</f>
        <v>-130</v>
      </c>
      <c r="X18" s="25"/>
      <c r="Y18" s="25"/>
      <c r="Z18" s="25">
        <v>-30</v>
      </c>
      <c r="AA18" s="25"/>
      <c r="AB18" s="25"/>
      <c r="AC18" s="25"/>
      <c r="AD18" s="25">
        <v>-40</v>
      </c>
      <c r="AE18" s="25"/>
      <c r="AF18" s="25">
        <v>-320</v>
      </c>
      <c r="AG18" s="25"/>
      <c r="AH18" s="25"/>
      <c r="AI18" s="25"/>
      <c r="AJ18" s="25">
        <v>-34</v>
      </c>
      <c r="AK18" s="25"/>
      <c r="AL18" s="34">
        <f t="shared" si="0"/>
        <v>145</v>
      </c>
      <c r="AM18">
        <v>200</v>
      </c>
      <c r="AN18">
        <v>250</v>
      </c>
      <c r="AO18">
        <v>2000</v>
      </c>
    </row>
    <row r="19" spans="1:42" hidden="1" x14ac:dyDescent="0.25">
      <c r="A19" s="11" t="s">
        <v>31</v>
      </c>
      <c r="B19" s="20" t="s">
        <v>50</v>
      </c>
      <c r="C19" s="20" t="s">
        <v>51</v>
      </c>
      <c r="D19" s="11"/>
      <c r="E19" s="11"/>
      <c r="F19" s="35">
        <f>'Feb 2026'!AI19</f>
        <v>1167</v>
      </c>
      <c r="G19" s="25"/>
      <c r="H19" s="25"/>
      <c r="I19" s="25"/>
      <c r="J19" s="25"/>
      <c r="K19" s="25"/>
      <c r="L19" s="25"/>
      <c r="M19" s="25"/>
      <c r="N19" s="25"/>
      <c r="O19" s="25">
        <v>-64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34">
        <f t="shared" si="0"/>
        <v>1103</v>
      </c>
      <c r="AM19">
        <v>100</v>
      </c>
      <c r="AN19">
        <v>150</v>
      </c>
      <c r="AO19">
        <v>500</v>
      </c>
    </row>
    <row r="20" spans="1:42" hidden="1" x14ac:dyDescent="0.25">
      <c r="A20" s="11" t="s">
        <v>31</v>
      </c>
      <c r="B20" s="20" t="s">
        <v>52</v>
      </c>
      <c r="C20" s="20" t="s">
        <v>53</v>
      </c>
      <c r="D20" s="11"/>
      <c r="E20" s="11"/>
      <c r="F20" s="35">
        <f>'Feb 2026'!AI20</f>
        <v>125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34">
        <f t="shared" si="0"/>
        <v>125</v>
      </c>
      <c r="AP20" t="s">
        <v>208</v>
      </c>
    </row>
    <row r="21" spans="1:42" hidden="1" x14ac:dyDescent="0.25">
      <c r="A21" s="11" t="s">
        <v>31</v>
      </c>
      <c r="B21" s="20" t="s">
        <v>54</v>
      </c>
      <c r="C21" s="20" t="s">
        <v>55</v>
      </c>
      <c r="D21" s="11"/>
      <c r="E21" s="11"/>
      <c r="F21" s="35">
        <f>'Feb 2026'!AI21</f>
        <v>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34">
        <f t="shared" si="0"/>
        <v>0</v>
      </c>
      <c r="AP21" t="s">
        <v>208</v>
      </c>
    </row>
    <row r="22" spans="1:42" hidden="1" x14ac:dyDescent="0.25">
      <c r="A22" s="11" t="s">
        <v>31</v>
      </c>
      <c r="B22" s="20" t="s">
        <v>56</v>
      </c>
      <c r="C22" s="20" t="s">
        <v>57</v>
      </c>
      <c r="D22" s="11"/>
      <c r="E22" s="11"/>
      <c r="F22" s="35">
        <f>'Feb 2026'!AI22</f>
        <v>272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4">
        <f t="shared" si="0"/>
        <v>272</v>
      </c>
      <c r="AP22" t="s">
        <v>208</v>
      </c>
    </row>
    <row r="23" spans="1:42" ht="15.75" hidden="1" customHeight="1" x14ac:dyDescent="0.25">
      <c r="A23" s="11" t="s">
        <v>31</v>
      </c>
      <c r="B23" s="20" t="s">
        <v>58</v>
      </c>
      <c r="C23" s="20" t="s">
        <v>59</v>
      </c>
      <c r="D23" s="11"/>
      <c r="E23" s="11"/>
      <c r="F23" s="35">
        <f>'Feb 2026'!AI23</f>
        <v>343</v>
      </c>
      <c r="G23" s="25"/>
      <c r="H23" s="25">
        <v>-6</v>
      </c>
      <c r="I23" s="25"/>
      <c r="J23" s="25">
        <v>-16</v>
      </c>
      <c r="K23" s="25">
        <f>-46+-28</f>
        <v>-74</v>
      </c>
      <c r="L23" s="25"/>
      <c r="M23" s="25"/>
      <c r="N23" s="25"/>
      <c r="O23" s="25"/>
      <c r="P23" s="25">
        <v>-6</v>
      </c>
      <c r="Q23" s="25">
        <v>-2</v>
      </c>
      <c r="R23" s="25"/>
      <c r="S23" s="25"/>
      <c r="T23" s="25"/>
      <c r="U23" s="25"/>
      <c r="V23" s="25"/>
      <c r="W23" s="25">
        <v>-6</v>
      </c>
      <c r="X23" s="25"/>
      <c r="Y23" s="25"/>
      <c r="Z23" s="25"/>
      <c r="AA23" s="25">
        <v>-2</v>
      </c>
      <c r="AB23" s="25"/>
      <c r="AC23" s="25"/>
      <c r="AD23" s="25"/>
      <c r="AE23" s="25"/>
      <c r="AF23" s="25">
        <f>-84+-2</f>
        <v>-86</v>
      </c>
      <c r="AG23" s="25"/>
      <c r="AH23" s="25">
        <v>-2</v>
      </c>
      <c r="AI23" s="25"/>
      <c r="AJ23" s="25">
        <v>-100</v>
      </c>
      <c r="AK23" s="25"/>
      <c r="AL23" s="34">
        <f t="shared" si="0"/>
        <v>43</v>
      </c>
      <c r="AM23">
        <v>100</v>
      </c>
      <c r="AN23">
        <v>150</v>
      </c>
      <c r="AO23">
        <v>500</v>
      </c>
    </row>
    <row r="24" spans="1:42" hidden="1" x14ac:dyDescent="0.25">
      <c r="A24" s="11" t="s">
        <v>31</v>
      </c>
      <c r="B24" s="20" t="s">
        <v>60</v>
      </c>
      <c r="C24" s="20" t="s">
        <v>61</v>
      </c>
      <c r="D24" s="11"/>
      <c r="E24" s="11"/>
      <c r="F24" s="35">
        <f>'Feb 2026'!AI24</f>
        <v>0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34">
        <f t="shared" si="0"/>
        <v>0</v>
      </c>
      <c r="AP24" t="s">
        <v>208</v>
      </c>
    </row>
    <row r="25" spans="1:42" hidden="1" x14ac:dyDescent="0.25">
      <c r="A25" s="11" t="s">
        <v>31</v>
      </c>
      <c r="B25" s="20" t="s">
        <v>62</v>
      </c>
      <c r="C25" s="20" t="s">
        <v>63</v>
      </c>
      <c r="D25" s="11"/>
      <c r="E25" s="11"/>
      <c r="F25" s="35">
        <f>'Feb 2026'!AI25</f>
        <v>1272</v>
      </c>
      <c r="G25" s="25"/>
      <c r="H25" s="25"/>
      <c r="I25" s="25"/>
      <c r="J25" s="25">
        <v>-72</v>
      </c>
      <c r="K25" s="25">
        <v>-120</v>
      </c>
      <c r="L25" s="25"/>
      <c r="M25" s="31"/>
      <c r="N25" s="25"/>
      <c r="O25" s="25"/>
      <c r="P25" s="25">
        <v>-27</v>
      </c>
      <c r="Q25" s="25">
        <v>-9</v>
      </c>
      <c r="R25" s="25"/>
      <c r="S25" s="25"/>
      <c r="T25" s="25"/>
      <c r="U25" s="25"/>
      <c r="V25" s="25"/>
      <c r="W25" s="25">
        <v>-27</v>
      </c>
      <c r="X25" s="25"/>
      <c r="Y25" s="25"/>
      <c r="Z25" s="31"/>
      <c r="AA25" s="25">
        <v>-9</v>
      </c>
      <c r="AB25" s="25"/>
      <c r="AC25" s="25"/>
      <c r="AD25" s="25"/>
      <c r="AE25" s="25"/>
      <c r="AF25" s="25">
        <v>-9</v>
      </c>
      <c r="AG25" s="25"/>
      <c r="AH25" s="25"/>
      <c r="AI25" s="25"/>
      <c r="AJ25" s="25"/>
      <c r="AK25" s="25"/>
      <c r="AL25" s="34">
        <f t="shared" si="0"/>
        <v>999</v>
      </c>
      <c r="AM25">
        <v>100</v>
      </c>
      <c r="AN25">
        <v>150</v>
      </c>
      <c r="AO25">
        <v>500</v>
      </c>
    </row>
    <row r="26" spans="1:42" hidden="1" x14ac:dyDescent="0.25">
      <c r="A26" s="11" t="s">
        <v>31</v>
      </c>
      <c r="B26" s="20" t="s">
        <v>64</v>
      </c>
      <c r="C26" s="20" t="s">
        <v>65</v>
      </c>
      <c r="D26" s="11"/>
      <c r="E26" s="11"/>
      <c r="F26" s="35">
        <f>'Feb 2026'!AI26</f>
        <v>1061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34">
        <f t="shared" si="0"/>
        <v>1061</v>
      </c>
      <c r="AP26" t="s">
        <v>208</v>
      </c>
    </row>
    <row r="27" spans="1:42" hidden="1" x14ac:dyDescent="0.25">
      <c r="A27" s="11" t="s">
        <v>31</v>
      </c>
      <c r="B27" s="20" t="s">
        <v>66</v>
      </c>
      <c r="C27" s="20" t="s">
        <v>67</v>
      </c>
      <c r="D27" s="11"/>
      <c r="E27" s="11"/>
      <c r="F27" s="35">
        <f>'Feb 2026'!AI27</f>
        <v>908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34">
        <f t="shared" si="0"/>
        <v>908</v>
      </c>
      <c r="AP27" t="s">
        <v>208</v>
      </c>
    </row>
    <row r="28" spans="1:42" hidden="1" x14ac:dyDescent="0.25">
      <c r="A28" s="11" t="s">
        <v>31</v>
      </c>
      <c r="B28" s="20" t="s">
        <v>68</v>
      </c>
      <c r="C28" s="20" t="s">
        <v>69</v>
      </c>
      <c r="D28" s="11"/>
      <c r="E28" s="11"/>
      <c r="F28" s="35">
        <f>'Feb 2026'!AI28</f>
        <v>493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34">
        <f t="shared" si="0"/>
        <v>493</v>
      </c>
      <c r="AP28" t="s">
        <v>208</v>
      </c>
    </row>
    <row r="29" spans="1:42" hidden="1" x14ac:dyDescent="0.25">
      <c r="A29" s="11" t="s">
        <v>31</v>
      </c>
      <c r="B29" s="20" t="s">
        <v>70</v>
      </c>
      <c r="C29" s="20" t="s">
        <v>71</v>
      </c>
      <c r="D29" s="11"/>
      <c r="E29" s="11"/>
      <c r="F29" s="35">
        <f>'Feb 2026'!AI29</f>
        <v>86</v>
      </c>
      <c r="G29" s="25"/>
      <c r="H29" s="25"/>
      <c r="I29" s="25">
        <v>-86</v>
      </c>
      <c r="J29" s="25"/>
      <c r="K29" s="25"/>
      <c r="L29" s="31">
        <v>3000</v>
      </c>
      <c r="M29" s="25">
        <f>-56+-4</f>
        <v>-60</v>
      </c>
      <c r="N29" s="25"/>
      <c r="O29" s="25"/>
      <c r="P29" s="25"/>
      <c r="Q29" s="25">
        <v>-50</v>
      </c>
      <c r="R29" s="25"/>
      <c r="S29" s="25"/>
      <c r="T29" s="25"/>
      <c r="U29" s="25"/>
      <c r="V29" s="25">
        <f>-16+-32</f>
        <v>-48</v>
      </c>
      <c r="W29" s="25">
        <v>-58</v>
      </c>
      <c r="X29" s="25"/>
      <c r="Y29" s="25"/>
      <c r="Z29" s="31"/>
      <c r="AA29" s="25"/>
      <c r="AB29" s="25"/>
      <c r="AC29" s="25"/>
      <c r="AD29" s="25"/>
      <c r="AE29" s="25"/>
      <c r="AF29" s="25">
        <f>-168+-152</f>
        <v>-320</v>
      </c>
      <c r="AG29" s="25"/>
      <c r="AH29" s="25"/>
      <c r="AI29" s="25"/>
      <c r="AJ29" s="25">
        <v>-4</v>
      </c>
      <c r="AK29" s="25"/>
      <c r="AL29" s="34">
        <f t="shared" si="0"/>
        <v>2460</v>
      </c>
      <c r="AM29">
        <v>200</v>
      </c>
      <c r="AN29">
        <v>500</v>
      </c>
      <c r="AO29">
        <v>2000</v>
      </c>
    </row>
    <row r="30" spans="1:42" hidden="1" x14ac:dyDescent="0.25">
      <c r="A30" s="11" t="s">
        <v>31</v>
      </c>
      <c r="B30" s="20" t="s">
        <v>72</v>
      </c>
      <c r="C30" s="20" t="s">
        <v>73</v>
      </c>
      <c r="D30" s="11"/>
      <c r="E30" s="11"/>
      <c r="F30" s="35">
        <f>'Feb 2026'!AI30</f>
        <v>1248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>
        <v>-16</v>
      </c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34">
        <f t="shared" si="0"/>
        <v>1232</v>
      </c>
      <c r="AP30" t="s">
        <v>208</v>
      </c>
    </row>
    <row r="31" spans="1:42" hidden="1" x14ac:dyDescent="0.25">
      <c r="A31" s="11" t="s">
        <v>31</v>
      </c>
      <c r="B31" s="20" t="s">
        <v>74</v>
      </c>
      <c r="C31" s="20" t="s">
        <v>75</v>
      </c>
      <c r="D31" s="11"/>
      <c r="E31" s="11"/>
      <c r="F31" s="35">
        <f>'Feb 2026'!AI31</f>
        <v>484</v>
      </c>
      <c r="G31" s="25"/>
      <c r="H31" s="25"/>
      <c r="I31" s="25">
        <v>-172</v>
      </c>
      <c r="J31" s="25"/>
      <c r="K31" s="25"/>
      <c r="L31" s="31">
        <v>3000</v>
      </c>
      <c r="M31" s="25"/>
      <c r="N31" s="25"/>
      <c r="O31" s="25">
        <v>-100</v>
      </c>
      <c r="P31" s="25">
        <v>-76</v>
      </c>
      <c r="Q31" s="25">
        <v>-50</v>
      </c>
      <c r="R31" s="25"/>
      <c r="S31" s="25"/>
      <c r="T31" s="25"/>
      <c r="U31" s="25"/>
      <c r="V31" s="25"/>
      <c r="W31" s="25">
        <v>-116</v>
      </c>
      <c r="X31" s="25"/>
      <c r="Y31" s="25"/>
      <c r="Z31" s="31"/>
      <c r="AA31" s="25">
        <v>-24</v>
      </c>
      <c r="AB31" s="25"/>
      <c r="AC31" s="25"/>
      <c r="AD31" s="25">
        <v>-80</v>
      </c>
      <c r="AE31" s="25"/>
      <c r="AF31" s="25"/>
      <c r="AG31" s="25">
        <f>-84+-4</f>
        <v>-88</v>
      </c>
      <c r="AH31" s="25"/>
      <c r="AI31" s="25"/>
      <c r="AJ31" s="25">
        <v>-8</v>
      </c>
      <c r="AK31" s="25"/>
      <c r="AL31" s="34">
        <f t="shared" si="0"/>
        <v>2770</v>
      </c>
      <c r="AM31">
        <v>200</v>
      </c>
      <c r="AN31">
        <v>500</v>
      </c>
      <c r="AO31">
        <v>2000</v>
      </c>
    </row>
    <row r="32" spans="1:42" hidden="1" x14ac:dyDescent="0.25">
      <c r="A32" s="11" t="s">
        <v>31</v>
      </c>
      <c r="B32" s="20" t="s">
        <v>76</v>
      </c>
      <c r="C32" s="20" t="s">
        <v>77</v>
      </c>
      <c r="D32" s="11"/>
      <c r="E32" s="11"/>
      <c r="F32" s="35">
        <f>'Feb 2026'!AI32</f>
        <v>2374</v>
      </c>
      <c r="G32" s="25"/>
      <c r="H32" s="25"/>
      <c r="I32" s="25"/>
      <c r="J32" s="25"/>
      <c r="K32" s="25"/>
      <c r="L32" s="25">
        <v>-120</v>
      </c>
      <c r="M32" s="25">
        <v>-50</v>
      </c>
      <c r="N32" s="25"/>
      <c r="O32" s="25">
        <v>-105</v>
      </c>
      <c r="P32" s="25">
        <v>-40</v>
      </c>
      <c r="Q32" s="25"/>
      <c r="R32" s="25">
        <v>-90</v>
      </c>
      <c r="S32" s="25"/>
      <c r="T32" s="25"/>
      <c r="U32" s="25"/>
      <c r="V32" s="25"/>
      <c r="W32" s="25">
        <v>-40</v>
      </c>
      <c r="X32" s="25"/>
      <c r="Y32" s="25"/>
      <c r="Z32" s="25">
        <v>-30</v>
      </c>
      <c r="AA32" s="25"/>
      <c r="AB32" s="25"/>
      <c r="AC32" s="25"/>
      <c r="AD32" s="25"/>
      <c r="AE32" s="25"/>
      <c r="AF32" s="25">
        <v>-320</v>
      </c>
      <c r="AG32" s="25"/>
      <c r="AH32" s="25"/>
      <c r="AI32" s="25"/>
      <c r="AJ32" s="25">
        <v>-105</v>
      </c>
      <c r="AK32" s="25">
        <v>-20</v>
      </c>
      <c r="AL32" s="34">
        <f t="shared" si="0"/>
        <v>1454</v>
      </c>
      <c r="AM32">
        <v>200</v>
      </c>
      <c r="AN32">
        <v>250</v>
      </c>
      <c r="AO32">
        <v>2000</v>
      </c>
    </row>
    <row r="33" spans="1:42" hidden="1" x14ac:dyDescent="0.25">
      <c r="A33" s="11" t="s">
        <v>31</v>
      </c>
      <c r="B33" s="20" t="s">
        <v>78</v>
      </c>
      <c r="C33" s="20" t="s">
        <v>79</v>
      </c>
      <c r="D33" s="11"/>
      <c r="E33" s="11"/>
      <c r="F33" s="35">
        <f>'Feb 2026'!AI33</f>
        <v>771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34">
        <f t="shared" si="0"/>
        <v>771</v>
      </c>
      <c r="AP33" t="s">
        <v>208</v>
      </c>
    </row>
    <row r="34" spans="1:42" hidden="1" x14ac:dyDescent="0.25">
      <c r="A34" s="11" t="s">
        <v>31</v>
      </c>
      <c r="B34" s="20" t="s">
        <v>80</v>
      </c>
      <c r="C34" s="20" t="s">
        <v>81</v>
      </c>
      <c r="D34" s="11"/>
      <c r="E34" s="11"/>
      <c r="F34" s="35">
        <f>'Feb 2026'!AI34</f>
        <v>204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34">
        <f t="shared" si="0"/>
        <v>204</v>
      </c>
      <c r="AP34" t="s">
        <v>208</v>
      </c>
    </row>
    <row r="35" spans="1:42" hidden="1" x14ac:dyDescent="0.25">
      <c r="A35" s="11" t="s">
        <v>31</v>
      </c>
      <c r="B35" s="20" t="s">
        <v>82</v>
      </c>
      <c r="C35" s="20" t="s">
        <v>83</v>
      </c>
      <c r="D35" s="11"/>
      <c r="E35" s="11"/>
      <c r="F35" s="35">
        <f>'Feb 2026'!AI35</f>
        <v>179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34">
        <f t="shared" si="0"/>
        <v>179</v>
      </c>
      <c r="AP35" t="s">
        <v>208</v>
      </c>
    </row>
    <row r="36" spans="1:42" hidden="1" x14ac:dyDescent="0.25">
      <c r="A36" s="11" t="s">
        <v>31</v>
      </c>
      <c r="B36" s="20" t="s">
        <v>84</v>
      </c>
      <c r="C36" s="20" t="s">
        <v>85</v>
      </c>
      <c r="D36" s="11"/>
      <c r="E36" s="11"/>
      <c r="F36" s="35">
        <f>'Feb 2026'!AI36</f>
        <v>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34">
        <f t="shared" si="0"/>
        <v>0</v>
      </c>
      <c r="AP36" t="s">
        <v>208</v>
      </c>
    </row>
    <row r="37" spans="1:42" hidden="1" x14ac:dyDescent="0.25">
      <c r="A37" s="11" t="s">
        <v>31</v>
      </c>
      <c r="B37" s="20" t="s">
        <v>86</v>
      </c>
      <c r="C37" s="20" t="s">
        <v>87</v>
      </c>
      <c r="D37" s="11"/>
      <c r="E37" s="11"/>
      <c r="F37" s="35">
        <f>'Feb 2026'!AI37</f>
        <v>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34">
        <f t="shared" si="0"/>
        <v>0</v>
      </c>
      <c r="AP37" t="s">
        <v>208</v>
      </c>
    </row>
    <row r="38" spans="1:42" hidden="1" x14ac:dyDescent="0.25">
      <c r="A38" s="11" t="s">
        <v>31</v>
      </c>
      <c r="B38" s="20" t="s">
        <v>88</v>
      </c>
      <c r="C38" s="20" t="s">
        <v>89</v>
      </c>
      <c r="D38" s="11"/>
      <c r="E38" s="11"/>
      <c r="F38" s="35">
        <f>'Feb 2026'!AI38</f>
        <v>139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31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34">
        <f t="shared" si="0"/>
        <v>139</v>
      </c>
      <c r="AP38" t="s">
        <v>208</v>
      </c>
    </row>
    <row r="39" spans="1:42" hidden="1" x14ac:dyDescent="0.25">
      <c r="A39" s="11" t="s">
        <v>31</v>
      </c>
      <c r="B39" s="20" t="s">
        <v>90</v>
      </c>
      <c r="C39" s="20" t="s">
        <v>91</v>
      </c>
      <c r="D39" s="11"/>
      <c r="E39" s="11"/>
      <c r="F39" s="35">
        <f>'Feb 2026'!AI39</f>
        <v>100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34">
        <f t="shared" si="0"/>
        <v>100</v>
      </c>
      <c r="AP39" t="s">
        <v>208</v>
      </c>
    </row>
    <row r="40" spans="1:42" hidden="1" x14ac:dyDescent="0.25">
      <c r="A40" s="11" t="s">
        <v>31</v>
      </c>
      <c r="B40" s="20" t="s">
        <v>92</v>
      </c>
      <c r="C40" s="20" t="s">
        <v>93</v>
      </c>
      <c r="D40" s="11"/>
      <c r="E40" s="11"/>
      <c r="F40" s="35">
        <f>'Feb 2026'!AI40</f>
        <v>500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34">
        <f t="shared" si="0"/>
        <v>500</v>
      </c>
      <c r="AP40" t="s">
        <v>208</v>
      </c>
    </row>
    <row r="41" spans="1:42" hidden="1" x14ac:dyDescent="0.25">
      <c r="A41" s="11" t="s">
        <v>31</v>
      </c>
      <c r="B41" s="20" t="s">
        <v>94</v>
      </c>
      <c r="C41" s="20" t="s">
        <v>95</v>
      </c>
      <c r="D41" s="11"/>
      <c r="E41" s="11"/>
      <c r="F41" s="35">
        <f>'Feb 2026'!AI41</f>
        <v>26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34">
        <f t="shared" si="0"/>
        <v>26</v>
      </c>
      <c r="AP41" t="s">
        <v>208</v>
      </c>
    </row>
    <row r="42" spans="1:42" hidden="1" x14ac:dyDescent="0.25">
      <c r="A42" s="11" t="s">
        <v>31</v>
      </c>
      <c r="B42" s="20" t="s">
        <v>96</v>
      </c>
      <c r="C42" s="20" t="s">
        <v>97</v>
      </c>
      <c r="D42" s="11"/>
      <c r="E42" s="11"/>
      <c r="F42" s="35">
        <f>'Feb 2026'!AI42</f>
        <v>40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34">
        <f t="shared" si="0"/>
        <v>40</v>
      </c>
      <c r="AP42" t="s">
        <v>208</v>
      </c>
    </row>
    <row r="43" spans="1:42" hidden="1" x14ac:dyDescent="0.25">
      <c r="A43" s="11" t="s">
        <v>31</v>
      </c>
      <c r="B43" s="20" t="s">
        <v>98</v>
      </c>
      <c r="C43" s="20" t="s">
        <v>99</v>
      </c>
      <c r="D43" s="11"/>
      <c r="E43" s="11"/>
      <c r="F43" s="35">
        <f>'Feb 2026'!AI43</f>
        <v>96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34">
        <f t="shared" si="0"/>
        <v>96</v>
      </c>
      <c r="AP43" t="s">
        <v>208</v>
      </c>
    </row>
    <row r="44" spans="1:42" hidden="1" x14ac:dyDescent="0.25">
      <c r="A44" s="11" t="s">
        <v>31</v>
      </c>
      <c r="B44" s="20" t="s">
        <v>100</v>
      </c>
      <c r="C44" s="20" t="s">
        <v>101</v>
      </c>
      <c r="D44" s="11"/>
      <c r="E44" s="11"/>
      <c r="F44" s="35">
        <f>'Feb 2026'!AI44</f>
        <v>41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34">
        <f t="shared" si="0"/>
        <v>41</v>
      </c>
      <c r="AP44" t="s">
        <v>208</v>
      </c>
    </row>
    <row r="45" spans="1:42" hidden="1" x14ac:dyDescent="0.25">
      <c r="A45" s="11" t="s">
        <v>31</v>
      </c>
      <c r="B45" s="20" t="s">
        <v>102</v>
      </c>
      <c r="C45" s="20" t="s">
        <v>103</v>
      </c>
      <c r="D45" s="11"/>
      <c r="E45" s="11"/>
      <c r="F45" s="35">
        <f>'Feb 2026'!AI45</f>
        <v>163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34">
        <f t="shared" si="0"/>
        <v>163</v>
      </c>
      <c r="AP45" t="s">
        <v>208</v>
      </c>
    </row>
    <row r="46" spans="1:42" hidden="1" x14ac:dyDescent="0.25">
      <c r="A46" s="11" t="s">
        <v>31</v>
      </c>
      <c r="B46" s="20" t="s">
        <v>104</v>
      </c>
      <c r="C46" s="20" t="s">
        <v>105</v>
      </c>
      <c r="D46" s="11"/>
      <c r="E46" s="11"/>
      <c r="F46" s="35">
        <f>'Feb 2026'!AI46</f>
        <v>45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34">
        <f t="shared" si="0"/>
        <v>45</v>
      </c>
      <c r="AP46" t="s">
        <v>208</v>
      </c>
    </row>
    <row r="47" spans="1:42" hidden="1" x14ac:dyDescent="0.25">
      <c r="A47" s="11" t="s">
        <v>31</v>
      </c>
      <c r="B47" s="20" t="s">
        <v>106</v>
      </c>
      <c r="C47" s="20" t="s">
        <v>107</v>
      </c>
      <c r="D47" s="11"/>
      <c r="E47" s="11"/>
      <c r="F47" s="35">
        <f>'Feb 2026'!AI47</f>
        <v>322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34">
        <f t="shared" si="0"/>
        <v>322</v>
      </c>
      <c r="AP47" t="s">
        <v>208</v>
      </c>
    </row>
    <row r="48" spans="1:42" hidden="1" x14ac:dyDescent="0.25">
      <c r="A48" s="11" t="s">
        <v>203</v>
      </c>
      <c r="B48" s="20" t="s">
        <v>108</v>
      </c>
      <c r="C48" s="20" t="s">
        <v>109</v>
      </c>
      <c r="D48" s="11"/>
      <c r="E48" s="11"/>
      <c r="F48" s="35">
        <f>'Feb 2026'!AI48</f>
        <v>1</v>
      </c>
      <c r="G48" s="25"/>
      <c r="I48" s="25"/>
      <c r="J48" s="25"/>
      <c r="K48" s="25"/>
      <c r="L48" s="25"/>
      <c r="M48" s="25"/>
      <c r="N48" s="25"/>
      <c r="O48" s="25"/>
      <c r="P48" s="25"/>
      <c r="Q48" s="25"/>
      <c r="R48" s="25">
        <v>-1</v>
      </c>
      <c r="S48" s="25"/>
      <c r="T48" s="25"/>
      <c r="U48" s="25"/>
      <c r="V48" s="25"/>
      <c r="W48" s="25"/>
      <c r="X48" s="25"/>
      <c r="Y48" s="25"/>
      <c r="Z48" s="25"/>
      <c r="AA48" s="31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34">
        <f t="shared" si="0"/>
        <v>0</v>
      </c>
      <c r="AM48">
        <v>1</v>
      </c>
      <c r="AN48">
        <v>2</v>
      </c>
      <c r="AO48">
        <v>5</v>
      </c>
    </row>
    <row r="49" spans="1:42" hidden="1" x14ac:dyDescent="0.25">
      <c r="A49" s="11" t="s">
        <v>203</v>
      </c>
      <c r="B49" s="20" t="s">
        <v>110</v>
      </c>
      <c r="C49" s="20" t="s">
        <v>111</v>
      </c>
      <c r="D49" s="11"/>
      <c r="E49" s="11"/>
      <c r="F49" s="35">
        <f>'Feb 2026'!AI49</f>
        <v>1</v>
      </c>
      <c r="G49" s="25"/>
      <c r="H49" s="25">
        <v>-1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34">
        <f t="shared" si="0"/>
        <v>0</v>
      </c>
      <c r="AM49">
        <v>1</v>
      </c>
      <c r="AN49">
        <v>2</v>
      </c>
      <c r="AO49">
        <v>2</v>
      </c>
    </row>
    <row r="50" spans="1:42" hidden="1" x14ac:dyDescent="0.25">
      <c r="A50" s="11" t="s">
        <v>32</v>
      </c>
      <c r="B50" s="20" t="s">
        <v>112</v>
      </c>
      <c r="C50" s="20" t="s">
        <v>113</v>
      </c>
      <c r="D50" s="11"/>
      <c r="E50" s="11"/>
      <c r="F50" s="35">
        <f>'Feb 2026'!AI50</f>
        <v>0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34">
        <f t="shared" si="0"/>
        <v>0</v>
      </c>
      <c r="AP50" t="s">
        <v>208</v>
      </c>
    </row>
    <row r="51" spans="1:42" hidden="1" x14ac:dyDescent="0.25">
      <c r="A51" s="11" t="s">
        <v>32</v>
      </c>
      <c r="B51" s="20" t="s">
        <v>114</v>
      </c>
      <c r="C51" s="20" t="s">
        <v>115</v>
      </c>
      <c r="D51" s="11"/>
      <c r="E51" s="11"/>
      <c r="F51" s="35">
        <f>'Feb 2026'!AI51</f>
        <v>0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34">
        <f t="shared" si="0"/>
        <v>0</v>
      </c>
      <c r="AP51" t="s">
        <v>208</v>
      </c>
    </row>
    <row r="52" spans="1:42" hidden="1" x14ac:dyDescent="0.25">
      <c r="A52" s="11" t="s">
        <v>203</v>
      </c>
      <c r="B52" s="20" t="s">
        <v>116</v>
      </c>
      <c r="C52" s="20" t="s">
        <v>117</v>
      </c>
      <c r="D52" s="11"/>
      <c r="E52" s="11"/>
      <c r="F52" s="35">
        <f>'Feb 2026'!AI52</f>
        <v>2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>
        <v>-1</v>
      </c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34">
        <f t="shared" si="0"/>
        <v>1</v>
      </c>
      <c r="AP52" t="s">
        <v>208</v>
      </c>
    </row>
    <row r="53" spans="1:42" hidden="1" x14ac:dyDescent="0.25">
      <c r="A53" s="11" t="s">
        <v>203</v>
      </c>
      <c r="B53" s="20" t="s">
        <v>118</v>
      </c>
      <c r="C53" s="20" t="s">
        <v>119</v>
      </c>
      <c r="D53" s="11"/>
      <c r="E53" s="11"/>
      <c r="F53" s="35">
        <f>'Feb 2026'!AI53</f>
        <v>0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34">
        <f t="shared" si="0"/>
        <v>0</v>
      </c>
      <c r="AM53">
        <v>1</v>
      </c>
      <c r="AN53">
        <v>2</v>
      </c>
      <c r="AO53">
        <v>5</v>
      </c>
    </row>
    <row r="54" spans="1:42" hidden="1" x14ac:dyDescent="0.25">
      <c r="A54" s="11" t="s">
        <v>203</v>
      </c>
      <c r="B54" s="20" t="s">
        <v>120</v>
      </c>
      <c r="C54" s="20" t="s">
        <v>121</v>
      </c>
      <c r="D54" s="11"/>
      <c r="E54" s="11"/>
      <c r="F54" s="35">
        <f>'Feb 2026'!AI54</f>
        <v>0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34">
        <f t="shared" si="0"/>
        <v>0</v>
      </c>
      <c r="AM54">
        <v>1</v>
      </c>
      <c r="AN54">
        <v>2</v>
      </c>
      <c r="AO54">
        <v>5</v>
      </c>
    </row>
    <row r="55" spans="1:42" hidden="1" x14ac:dyDescent="0.25">
      <c r="A55" s="11" t="s">
        <v>203</v>
      </c>
      <c r="B55" s="20" t="s">
        <v>122</v>
      </c>
      <c r="C55" s="20" t="s">
        <v>123</v>
      </c>
      <c r="D55" s="11"/>
      <c r="E55" s="11"/>
      <c r="F55" s="35">
        <f>'Feb 2026'!AI55</f>
        <v>5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34">
        <f t="shared" si="0"/>
        <v>5</v>
      </c>
      <c r="AP55" t="s">
        <v>208</v>
      </c>
    </row>
    <row r="56" spans="1:42" hidden="1" x14ac:dyDescent="0.25">
      <c r="A56" s="11" t="s">
        <v>203</v>
      </c>
      <c r="B56" s="20" t="s">
        <v>124</v>
      </c>
      <c r="C56" s="20" t="s">
        <v>125</v>
      </c>
      <c r="D56" s="11"/>
      <c r="E56" s="11"/>
      <c r="F56" s="35">
        <f>'Feb 2026'!AI56</f>
        <v>3</v>
      </c>
      <c r="G56" s="25"/>
      <c r="H56" s="25"/>
      <c r="I56" s="25"/>
      <c r="J56" s="25"/>
      <c r="K56" s="25">
        <v>-2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34">
        <f t="shared" si="0"/>
        <v>1</v>
      </c>
      <c r="AM56">
        <v>1</v>
      </c>
      <c r="AN56">
        <v>2</v>
      </c>
      <c r="AO56">
        <v>5</v>
      </c>
    </row>
    <row r="57" spans="1:42" hidden="1" x14ac:dyDescent="0.25">
      <c r="A57" s="11"/>
      <c r="B57" s="20" t="s">
        <v>126</v>
      </c>
      <c r="C57" s="20" t="s">
        <v>127</v>
      </c>
      <c r="D57" s="11"/>
      <c r="E57" s="11"/>
      <c r="F57" s="35">
        <f>'Feb 2026'!AI57</f>
        <v>0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34">
        <f t="shared" si="0"/>
        <v>0</v>
      </c>
      <c r="AP57" t="s">
        <v>208</v>
      </c>
    </row>
    <row r="58" spans="1:42" hidden="1" x14ac:dyDescent="0.25">
      <c r="A58" s="11"/>
      <c r="B58" s="20" t="s">
        <v>128</v>
      </c>
      <c r="C58" s="20" t="s">
        <v>129</v>
      </c>
      <c r="D58" s="11"/>
      <c r="E58" s="11"/>
      <c r="F58" s="35">
        <f>'Feb 2026'!AI58</f>
        <v>0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34">
        <f t="shared" si="0"/>
        <v>0</v>
      </c>
      <c r="AP58" t="s">
        <v>208</v>
      </c>
    </row>
    <row r="59" spans="1:42" hidden="1" x14ac:dyDescent="0.25">
      <c r="A59" s="11" t="s">
        <v>203</v>
      </c>
      <c r="B59" s="20" t="s">
        <v>130</v>
      </c>
      <c r="C59" s="20" t="s">
        <v>131</v>
      </c>
      <c r="D59" s="11"/>
      <c r="E59" s="11"/>
      <c r="F59" s="35">
        <f>'Feb 2026'!AI59</f>
        <v>107</v>
      </c>
      <c r="G59" s="25"/>
      <c r="H59" s="25"/>
      <c r="I59" s="25"/>
      <c r="J59" s="25"/>
      <c r="K59" s="25"/>
      <c r="L59" s="31">
        <v>174</v>
      </c>
      <c r="M59" s="25">
        <v>-40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34">
        <f t="shared" si="0"/>
        <v>241</v>
      </c>
      <c r="AM59">
        <v>25</v>
      </c>
      <c r="AN59">
        <v>50</v>
      </c>
      <c r="AO59">
        <v>200</v>
      </c>
    </row>
    <row r="60" spans="1:42" hidden="1" x14ac:dyDescent="0.25">
      <c r="A60" s="11"/>
      <c r="B60" s="20" t="s">
        <v>132</v>
      </c>
      <c r="C60" s="20" t="s">
        <v>133</v>
      </c>
      <c r="D60" s="11"/>
      <c r="E60" s="11"/>
      <c r="F60" s="35">
        <f>'Feb 2026'!AI60</f>
        <v>4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34">
        <f t="shared" si="0"/>
        <v>4</v>
      </c>
      <c r="AP60" t="s">
        <v>208</v>
      </c>
    </row>
    <row r="61" spans="1:42" hidden="1" x14ac:dyDescent="0.25">
      <c r="A61" s="11"/>
      <c r="B61" s="20" t="s">
        <v>134</v>
      </c>
      <c r="C61" s="20" t="s">
        <v>135</v>
      </c>
      <c r="D61" s="11"/>
      <c r="E61" s="11"/>
      <c r="F61" s="35">
        <f>'Feb 2026'!AI61</f>
        <v>0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34">
        <f t="shared" si="0"/>
        <v>0</v>
      </c>
      <c r="AM61">
        <v>2</v>
      </c>
      <c r="AN61">
        <v>5</v>
      </c>
      <c r="AO61">
        <v>10</v>
      </c>
    </row>
    <row r="62" spans="1:42" hidden="1" x14ac:dyDescent="0.25">
      <c r="A62" s="11" t="s">
        <v>203</v>
      </c>
      <c r="B62" s="20"/>
      <c r="C62" s="20" t="s">
        <v>136</v>
      </c>
      <c r="D62" s="11"/>
      <c r="E62" s="11"/>
      <c r="F62" s="35">
        <f>'Feb 2026'!AI62</f>
        <v>4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34">
        <f t="shared" si="0"/>
        <v>4</v>
      </c>
      <c r="AP62" t="s">
        <v>208</v>
      </c>
    </row>
    <row r="63" spans="1:42" hidden="1" x14ac:dyDescent="0.25">
      <c r="A63" s="11" t="s">
        <v>203</v>
      </c>
      <c r="B63" s="20" t="s">
        <v>137</v>
      </c>
      <c r="C63" s="20" t="s">
        <v>138</v>
      </c>
      <c r="D63" s="11"/>
      <c r="E63" s="11"/>
      <c r="F63" s="35">
        <f>'Feb 2026'!AI63</f>
        <v>1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34">
        <f t="shared" si="0"/>
        <v>1</v>
      </c>
      <c r="AP63" t="s">
        <v>208</v>
      </c>
    </row>
    <row r="64" spans="1:42" hidden="1" x14ac:dyDescent="0.25">
      <c r="A64" s="11" t="s">
        <v>203</v>
      </c>
      <c r="B64" s="20" t="s">
        <v>139</v>
      </c>
      <c r="C64" s="20" t="s">
        <v>140</v>
      </c>
      <c r="D64" s="11"/>
      <c r="E64" s="11"/>
      <c r="F64" s="35">
        <f>'Feb 2026'!AI64</f>
        <v>23</v>
      </c>
      <c r="G64" s="25"/>
      <c r="H64" s="25"/>
      <c r="I64" s="25"/>
      <c r="J64" s="25">
        <v>-5</v>
      </c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>
        <v>-3</v>
      </c>
      <c r="AE64" s="25"/>
      <c r="AF64" s="25"/>
      <c r="AG64" s="25"/>
      <c r="AH64" s="25"/>
      <c r="AI64" s="25"/>
      <c r="AJ64" s="25"/>
      <c r="AK64" s="25"/>
      <c r="AL64" s="34">
        <f t="shared" si="0"/>
        <v>15</v>
      </c>
      <c r="AM64">
        <v>5</v>
      </c>
      <c r="AN64">
        <v>10</v>
      </c>
      <c r="AO64">
        <v>20</v>
      </c>
    </row>
    <row r="65" spans="1:42" hidden="1" x14ac:dyDescent="0.25">
      <c r="A65" s="11" t="s">
        <v>203</v>
      </c>
      <c r="B65" s="20"/>
      <c r="C65" s="20" t="s">
        <v>141</v>
      </c>
      <c r="D65" s="11"/>
      <c r="E65" s="11"/>
      <c r="F65" s="35">
        <f>'Feb 2026'!AI65</f>
        <v>7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34">
        <f t="shared" si="0"/>
        <v>7</v>
      </c>
      <c r="AP65" t="s">
        <v>208</v>
      </c>
    </row>
    <row r="66" spans="1:42" x14ac:dyDescent="0.25">
      <c r="A66" s="11" t="s">
        <v>203</v>
      </c>
      <c r="B66" s="20"/>
      <c r="C66" s="20" t="s">
        <v>206</v>
      </c>
      <c r="D66" s="11"/>
      <c r="E66" s="11"/>
      <c r="F66" s="35">
        <f>'Feb 2026'!AI66</f>
        <v>98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34">
        <f t="shared" si="0"/>
        <v>98</v>
      </c>
      <c r="AP66" t="s">
        <v>208</v>
      </c>
    </row>
    <row r="67" spans="1:42" hidden="1" x14ac:dyDescent="0.25">
      <c r="A67" s="11" t="s">
        <v>204</v>
      </c>
      <c r="B67" s="20" t="s">
        <v>143</v>
      </c>
      <c r="C67" s="20" t="s">
        <v>144</v>
      </c>
      <c r="D67" s="11"/>
      <c r="E67" s="11"/>
      <c r="F67" s="35">
        <f>'Feb 2026'!AI67</f>
        <v>0</v>
      </c>
      <c r="G67" s="25"/>
      <c r="H67" s="25"/>
      <c r="I67" s="25"/>
      <c r="J67" s="25"/>
      <c r="K67" s="25"/>
      <c r="L67" s="31">
        <v>1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34">
        <f t="shared" si="0"/>
        <v>1</v>
      </c>
      <c r="AM67">
        <v>1</v>
      </c>
      <c r="AN67">
        <v>1</v>
      </c>
      <c r="AO67">
        <v>1</v>
      </c>
    </row>
    <row r="68" spans="1:42" hidden="1" x14ac:dyDescent="0.25">
      <c r="A68" s="11" t="s">
        <v>203</v>
      </c>
      <c r="B68" s="20" t="s">
        <v>145</v>
      </c>
      <c r="C68" s="20" t="s">
        <v>146</v>
      </c>
      <c r="D68" s="11"/>
      <c r="E68" s="11"/>
      <c r="F68" s="35">
        <f>'Feb 2026'!AI68</f>
        <v>0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34">
        <f t="shared" si="0"/>
        <v>0</v>
      </c>
      <c r="AM68">
        <v>1</v>
      </c>
      <c r="AN68">
        <v>1</v>
      </c>
      <c r="AO68">
        <v>1</v>
      </c>
    </row>
    <row r="69" spans="1:42" hidden="1" x14ac:dyDescent="0.25">
      <c r="A69" s="11" t="s">
        <v>203</v>
      </c>
      <c r="B69" s="20" t="s">
        <v>147</v>
      </c>
      <c r="C69" s="20" t="s">
        <v>148</v>
      </c>
      <c r="D69" s="11"/>
      <c r="E69" s="11"/>
      <c r="F69" s="35">
        <f>'Feb 2026'!AI69</f>
        <v>0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31"/>
      <c r="AL69" s="34">
        <f t="shared" si="0"/>
        <v>0</v>
      </c>
      <c r="AM69">
        <v>1</v>
      </c>
      <c r="AN69">
        <v>1</v>
      </c>
      <c r="AO69">
        <v>1</v>
      </c>
    </row>
    <row r="70" spans="1:42" hidden="1" x14ac:dyDescent="0.25">
      <c r="A70" s="11" t="s">
        <v>203</v>
      </c>
      <c r="B70" s="20" t="s">
        <v>149</v>
      </c>
      <c r="C70" s="20" t="s">
        <v>150</v>
      </c>
      <c r="D70" s="11"/>
      <c r="E70" s="11"/>
      <c r="F70" s="35">
        <f>'Feb 2026'!AI70</f>
        <v>7</v>
      </c>
      <c r="G70" s="25"/>
      <c r="H70" s="25"/>
      <c r="I70" s="25"/>
      <c r="J70" s="25"/>
      <c r="K70" s="25"/>
      <c r="L70" s="25"/>
      <c r="M70" s="25">
        <v>-1</v>
      </c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>
        <v>-1</v>
      </c>
      <c r="AK70" s="31"/>
      <c r="AL70" s="34">
        <f t="shared" si="0"/>
        <v>5</v>
      </c>
      <c r="AM70">
        <v>1</v>
      </c>
      <c r="AN70">
        <v>2</v>
      </c>
      <c r="AO70">
        <v>5</v>
      </c>
    </row>
    <row r="71" spans="1:42" hidden="1" x14ac:dyDescent="0.25">
      <c r="A71" s="11" t="s">
        <v>203</v>
      </c>
      <c r="B71" s="20" t="s">
        <v>151</v>
      </c>
      <c r="C71" s="20" t="s">
        <v>152</v>
      </c>
      <c r="D71" s="11"/>
      <c r="E71" s="11"/>
      <c r="F71" s="35">
        <f>'Feb 2026'!AI71</f>
        <v>2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34">
        <f t="shared" si="0"/>
        <v>2</v>
      </c>
      <c r="AP71" t="s">
        <v>208</v>
      </c>
    </row>
    <row r="72" spans="1:42" hidden="1" x14ac:dyDescent="0.25">
      <c r="A72" s="11" t="s">
        <v>203</v>
      </c>
      <c r="B72" s="20" t="s">
        <v>153</v>
      </c>
      <c r="C72" s="20" t="s">
        <v>154</v>
      </c>
      <c r="D72" s="11"/>
      <c r="E72" s="11"/>
      <c r="F72" s="35">
        <f>'Feb 2026'!AI72</f>
        <v>3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>
        <v>-2</v>
      </c>
      <c r="W72" s="25"/>
      <c r="X72" s="25"/>
      <c r="Y72" s="25"/>
      <c r="Z72" s="25"/>
      <c r="AA72" s="31"/>
      <c r="AB72" s="25"/>
      <c r="AC72" s="25"/>
      <c r="AD72" s="25"/>
      <c r="AE72" s="25"/>
      <c r="AF72" s="25"/>
      <c r="AG72" s="25"/>
      <c r="AH72" s="25"/>
      <c r="AI72" s="25"/>
      <c r="AJ72" s="25">
        <v>-1</v>
      </c>
      <c r="AK72" s="25"/>
      <c r="AL72" s="34">
        <f t="shared" si="0"/>
        <v>0</v>
      </c>
      <c r="AM72">
        <v>1</v>
      </c>
      <c r="AN72">
        <v>2</v>
      </c>
      <c r="AO72">
        <v>5</v>
      </c>
    </row>
    <row r="73" spans="1:42" hidden="1" x14ac:dyDescent="0.25">
      <c r="A73" s="11"/>
      <c r="B73" s="20" t="s">
        <v>155</v>
      </c>
      <c r="C73" s="20" t="s">
        <v>156</v>
      </c>
      <c r="D73" s="11"/>
      <c r="E73" s="11"/>
      <c r="F73" s="35">
        <f>'Feb 2026'!AI73</f>
        <v>0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>
        <v>-1</v>
      </c>
      <c r="S73" s="25"/>
      <c r="T73" s="25"/>
      <c r="U73" s="31">
        <v>4</v>
      </c>
      <c r="V73" s="25"/>
      <c r="W73" s="25"/>
      <c r="X73" s="25"/>
      <c r="Y73" s="25"/>
      <c r="Z73" s="25"/>
      <c r="AA73" s="31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34">
        <f t="shared" si="0"/>
        <v>3</v>
      </c>
      <c r="AM73">
        <v>1</v>
      </c>
      <c r="AN73">
        <v>2</v>
      </c>
      <c r="AO73">
        <v>3</v>
      </c>
    </row>
    <row r="74" spans="1:42" hidden="1" x14ac:dyDescent="0.25">
      <c r="A74" s="11"/>
      <c r="B74" s="20" t="s">
        <v>157</v>
      </c>
      <c r="C74" s="20" t="s">
        <v>158</v>
      </c>
      <c r="D74" s="11"/>
      <c r="E74" s="11"/>
      <c r="F74" s="35">
        <f>'Feb 2026'!AI74</f>
        <v>0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34">
        <f t="shared" si="0"/>
        <v>0</v>
      </c>
      <c r="AP74" t="s">
        <v>208</v>
      </c>
    </row>
    <row r="75" spans="1:42" hidden="1" x14ac:dyDescent="0.25">
      <c r="A75" s="11"/>
      <c r="B75" s="20" t="s">
        <v>159</v>
      </c>
      <c r="C75" s="20" t="s">
        <v>160</v>
      </c>
      <c r="D75" s="11"/>
      <c r="E75" s="11"/>
      <c r="F75" s="35">
        <f>'Feb 2026'!AI75</f>
        <v>1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34">
        <f t="shared" si="0"/>
        <v>1</v>
      </c>
      <c r="AP75" t="s">
        <v>208</v>
      </c>
    </row>
    <row r="76" spans="1:42" hidden="1" x14ac:dyDescent="0.25">
      <c r="A76" s="11"/>
      <c r="B76" s="20" t="s">
        <v>161</v>
      </c>
      <c r="C76" s="20" t="s">
        <v>162</v>
      </c>
      <c r="D76" s="11"/>
      <c r="E76" s="11"/>
      <c r="F76" s="35">
        <f>'Feb 2026'!AI76</f>
        <v>4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34">
        <f t="shared" ref="AL76:AL97" si="1">F76+SUM(G76:AK76)</f>
        <v>4</v>
      </c>
      <c r="AP76" t="s">
        <v>208</v>
      </c>
    </row>
    <row r="77" spans="1:42" hidden="1" x14ac:dyDescent="0.25">
      <c r="A77" s="11"/>
      <c r="B77" s="20" t="s">
        <v>163</v>
      </c>
      <c r="C77" s="20" t="s">
        <v>164</v>
      </c>
      <c r="D77" s="11"/>
      <c r="E77" s="11"/>
      <c r="F77" s="35">
        <f>'Feb 2026'!AI77</f>
        <v>0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34">
        <f t="shared" si="1"/>
        <v>0</v>
      </c>
      <c r="AM77">
        <v>1</v>
      </c>
      <c r="AN77">
        <v>1</v>
      </c>
      <c r="AO77">
        <v>1</v>
      </c>
    </row>
    <row r="78" spans="1:42" hidden="1" x14ac:dyDescent="0.25">
      <c r="A78" s="11" t="s">
        <v>32</v>
      </c>
      <c r="B78" s="20" t="s">
        <v>165</v>
      </c>
      <c r="C78" s="20" t="s">
        <v>166</v>
      </c>
      <c r="D78" s="11"/>
      <c r="E78" s="11"/>
      <c r="F78" s="35">
        <f>'Feb 2026'!AI78</f>
        <v>1</v>
      </c>
      <c r="G78" s="25"/>
      <c r="H78" s="25"/>
      <c r="I78" s="25"/>
      <c r="J78" s="25"/>
      <c r="K78" s="25"/>
      <c r="L78" s="25"/>
      <c r="M78" s="25"/>
      <c r="N78" s="25"/>
      <c r="O78" s="31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34">
        <f t="shared" si="1"/>
        <v>1</v>
      </c>
      <c r="AP78" t="s">
        <v>208</v>
      </c>
    </row>
    <row r="79" spans="1:42" hidden="1" x14ac:dyDescent="0.25">
      <c r="A79" s="11"/>
      <c r="B79" s="20" t="s">
        <v>167</v>
      </c>
      <c r="C79" s="20" t="s">
        <v>168</v>
      </c>
      <c r="D79" s="11"/>
      <c r="E79" s="11"/>
      <c r="F79" s="35">
        <f>'Feb 2026'!AI79</f>
        <v>0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34">
        <f t="shared" si="1"/>
        <v>0</v>
      </c>
      <c r="AP79" t="s">
        <v>208</v>
      </c>
    </row>
    <row r="80" spans="1:42" hidden="1" x14ac:dyDescent="0.25">
      <c r="A80" s="11"/>
      <c r="B80" s="20" t="s">
        <v>169</v>
      </c>
      <c r="C80" s="20" t="s">
        <v>170</v>
      </c>
      <c r="D80" s="11"/>
      <c r="E80" s="11"/>
      <c r="F80" s="35">
        <f>'Feb 2026'!AI80</f>
        <v>0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34">
        <f t="shared" si="1"/>
        <v>0</v>
      </c>
      <c r="AP80" t="s">
        <v>208</v>
      </c>
    </row>
    <row r="81" spans="1:42" hidden="1" x14ac:dyDescent="0.25">
      <c r="A81" s="11" t="s">
        <v>204</v>
      </c>
      <c r="B81" s="20" t="s">
        <v>171</v>
      </c>
      <c r="C81" s="20" t="s">
        <v>172</v>
      </c>
      <c r="D81" s="11"/>
      <c r="E81" s="11"/>
      <c r="F81" s="35">
        <f>'Feb 2026'!AI81</f>
        <v>0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34">
        <f t="shared" si="1"/>
        <v>0</v>
      </c>
      <c r="AP81" t="s">
        <v>208</v>
      </c>
    </row>
    <row r="82" spans="1:42" hidden="1" x14ac:dyDescent="0.25">
      <c r="A82" s="11" t="s">
        <v>32</v>
      </c>
      <c r="B82" s="20" t="s">
        <v>173</v>
      </c>
      <c r="C82" s="20" t="s">
        <v>174</v>
      </c>
      <c r="D82" s="11"/>
      <c r="E82" s="11"/>
      <c r="F82" s="35">
        <f>'Feb 2026'!AI82</f>
        <v>1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34">
        <f t="shared" si="1"/>
        <v>1</v>
      </c>
      <c r="AP82" t="s">
        <v>208</v>
      </c>
    </row>
    <row r="83" spans="1:42" x14ac:dyDescent="0.25">
      <c r="A83" s="11" t="s">
        <v>33</v>
      </c>
      <c r="B83" s="20" t="s">
        <v>175</v>
      </c>
      <c r="C83" s="20" t="s">
        <v>176</v>
      </c>
      <c r="D83" s="11"/>
      <c r="E83" s="11"/>
      <c r="F83" s="35">
        <f>'Feb 2026'!AI83</f>
        <v>688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>
        <v>-2</v>
      </c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34">
        <f t="shared" si="1"/>
        <v>686</v>
      </c>
      <c r="AP83" t="s">
        <v>208</v>
      </c>
    </row>
    <row r="84" spans="1:42" x14ac:dyDescent="0.25">
      <c r="A84" s="11" t="s">
        <v>33</v>
      </c>
      <c r="B84" s="20" t="s">
        <v>177</v>
      </c>
      <c r="C84" s="20" t="s">
        <v>178</v>
      </c>
      <c r="D84" s="11"/>
      <c r="E84" s="11"/>
      <c r="F84" s="35">
        <f>'Feb 2026'!AI84</f>
        <v>587</v>
      </c>
      <c r="G84" s="25"/>
      <c r="H84" s="25">
        <v>-6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>
        <v>-200</v>
      </c>
      <c r="AA84" s="25"/>
      <c r="AB84" s="25"/>
      <c r="AC84" s="25"/>
      <c r="AD84" s="25">
        <f>-100+-4</f>
        <v>-104</v>
      </c>
      <c r="AE84" s="25"/>
      <c r="AF84" s="25"/>
      <c r="AG84" s="25"/>
      <c r="AH84" s="25"/>
      <c r="AI84" s="25"/>
      <c r="AJ84" s="25"/>
      <c r="AK84" s="25"/>
      <c r="AL84" s="34">
        <f t="shared" si="1"/>
        <v>277</v>
      </c>
      <c r="AM84">
        <v>50</v>
      </c>
      <c r="AN84">
        <v>100</v>
      </c>
      <c r="AO84">
        <v>500</v>
      </c>
    </row>
    <row r="85" spans="1:42" hidden="1" x14ac:dyDescent="0.25">
      <c r="A85" s="11"/>
      <c r="B85" s="20" t="s">
        <v>179</v>
      </c>
      <c r="C85" s="20" t="s">
        <v>180</v>
      </c>
      <c r="D85" s="11"/>
      <c r="E85" s="11"/>
      <c r="F85" s="35">
        <f>'Feb 2026'!AI85</f>
        <v>0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34">
        <f t="shared" si="1"/>
        <v>0</v>
      </c>
    </row>
    <row r="86" spans="1:42" x14ac:dyDescent="0.25">
      <c r="A86" s="11"/>
      <c r="B86" s="20" t="s">
        <v>181</v>
      </c>
      <c r="C86" s="20" t="s">
        <v>182</v>
      </c>
      <c r="D86" s="11"/>
      <c r="E86" s="11"/>
      <c r="F86" s="35">
        <f>'Feb 2026'!AI86</f>
        <v>0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34">
        <f t="shared" si="1"/>
        <v>0</v>
      </c>
    </row>
    <row r="87" spans="1:42" hidden="1" x14ac:dyDescent="0.25">
      <c r="A87" s="11" t="s">
        <v>204</v>
      </c>
      <c r="B87" s="20" t="s">
        <v>183</v>
      </c>
      <c r="C87" s="20" t="s">
        <v>184</v>
      </c>
      <c r="D87" s="11"/>
      <c r="E87" s="11"/>
      <c r="F87" s="35">
        <f>'Feb 2026'!AI87</f>
        <v>0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34">
        <f t="shared" si="1"/>
        <v>0</v>
      </c>
    </row>
    <row r="88" spans="1:42" hidden="1" x14ac:dyDescent="0.25">
      <c r="A88" s="11" t="s">
        <v>204</v>
      </c>
      <c r="B88" s="20" t="s">
        <v>185</v>
      </c>
      <c r="C88" s="20" t="s">
        <v>186</v>
      </c>
      <c r="D88" s="11"/>
      <c r="E88" s="11"/>
      <c r="F88" s="35">
        <f>'Feb 2026'!AI88</f>
        <v>15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>
        <v>-2</v>
      </c>
      <c r="S88" s="25"/>
      <c r="T88" s="25"/>
      <c r="U88" s="31">
        <v>6</v>
      </c>
      <c r="V88" s="25">
        <v>-2</v>
      </c>
      <c r="W88" s="25"/>
      <c r="X88" s="25"/>
      <c r="Y88" s="25"/>
      <c r="Z88" s="25"/>
      <c r="AA88" s="31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34">
        <f t="shared" si="1"/>
        <v>17</v>
      </c>
    </row>
    <row r="89" spans="1:42" hidden="1" x14ac:dyDescent="0.25">
      <c r="A89" s="11"/>
      <c r="B89" s="20" t="s">
        <v>187</v>
      </c>
      <c r="C89" s="20" t="s">
        <v>188</v>
      </c>
      <c r="D89" s="11"/>
      <c r="E89" s="11"/>
      <c r="F89" s="35">
        <f>'Feb 2026'!AI89</f>
        <v>0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34">
        <f t="shared" si="1"/>
        <v>0</v>
      </c>
    </row>
    <row r="90" spans="1:42" hidden="1" x14ac:dyDescent="0.25">
      <c r="A90" s="11"/>
      <c r="B90" s="20" t="s">
        <v>189</v>
      </c>
      <c r="C90" s="20" t="s">
        <v>190</v>
      </c>
      <c r="D90" s="11"/>
      <c r="E90" s="11"/>
      <c r="F90" s="35">
        <f>'Feb 2026'!AI90</f>
        <v>0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34">
        <f t="shared" si="1"/>
        <v>0</v>
      </c>
    </row>
    <row r="91" spans="1:42" hidden="1" x14ac:dyDescent="0.25">
      <c r="A91" s="11" t="s">
        <v>204</v>
      </c>
      <c r="B91" s="20" t="s">
        <v>191</v>
      </c>
      <c r="C91" s="20" t="s">
        <v>192</v>
      </c>
      <c r="D91" s="11"/>
      <c r="E91" s="11"/>
      <c r="F91" s="35">
        <f>'Feb 2026'!AI91</f>
        <v>0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34">
        <f t="shared" si="1"/>
        <v>0</v>
      </c>
    </row>
    <row r="92" spans="1:42" hidden="1" x14ac:dyDescent="0.25">
      <c r="A92" s="11"/>
      <c r="B92" s="20" t="s">
        <v>193</v>
      </c>
      <c r="C92" s="20" t="s">
        <v>194</v>
      </c>
      <c r="D92" s="11"/>
      <c r="E92" s="11"/>
      <c r="F92" s="35">
        <f>'Feb 2026'!AI92</f>
        <v>0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34">
        <f t="shared" si="1"/>
        <v>0</v>
      </c>
    </row>
    <row r="93" spans="1:42" hidden="1" x14ac:dyDescent="0.25">
      <c r="A93" s="11"/>
      <c r="B93" s="20" t="s">
        <v>195</v>
      </c>
      <c r="C93" s="20" t="s">
        <v>196</v>
      </c>
      <c r="D93" s="11"/>
      <c r="E93" s="11"/>
      <c r="F93" s="35">
        <f>'Feb 2026'!AI93</f>
        <v>0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34">
        <f t="shared" si="1"/>
        <v>0</v>
      </c>
    </row>
    <row r="94" spans="1:42" hidden="1" x14ac:dyDescent="0.25">
      <c r="A94" s="1"/>
      <c r="B94" s="20" t="s">
        <v>197</v>
      </c>
      <c r="C94" s="20" t="s">
        <v>198</v>
      </c>
      <c r="D94" s="11"/>
      <c r="E94" s="11"/>
      <c r="F94" s="35">
        <f>'Feb 2026'!AI94</f>
        <v>0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34">
        <f t="shared" si="1"/>
        <v>0</v>
      </c>
    </row>
    <row r="95" spans="1:42" hidden="1" x14ac:dyDescent="0.25">
      <c r="A95" s="11" t="s">
        <v>31</v>
      </c>
      <c r="B95" s="20" t="s">
        <v>199</v>
      </c>
      <c r="C95" s="20" t="s">
        <v>200</v>
      </c>
      <c r="D95" s="11"/>
      <c r="E95" s="11"/>
      <c r="F95" s="35">
        <f>'Feb 2026'!AI95</f>
        <v>335</v>
      </c>
      <c r="G95" s="25"/>
      <c r="H95" s="25">
        <v>-6</v>
      </c>
      <c r="I95" s="25"/>
      <c r="J95" s="25">
        <v>-16</v>
      </c>
      <c r="K95" s="25">
        <f>-46+-28</f>
        <v>-74</v>
      </c>
      <c r="L95" s="25"/>
      <c r="M95" s="25"/>
      <c r="N95" s="25"/>
      <c r="O95" s="25"/>
      <c r="P95" s="25"/>
      <c r="Q95" s="25">
        <f>-2+-6</f>
        <v>-8</v>
      </c>
      <c r="R95" s="25"/>
      <c r="S95" s="25"/>
      <c r="T95" s="25"/>
      <c r="U95" s="25"/>
      <c r="V95" s="25"/>
      <c r="W95" s="25">
        <v>-6</v>
      </c>
      <c r="X95" s="25"/>
      <c r="Y95" s="25"/>
      <c r="Z95" s="25"/>
      <c r="AA95" s="25">
        <v>-2</v>
      </c>
      <c r="AB95" s="25"/>
      <c r="AC95" s="25"/>
      <c r="AD95" s="25"/>
      <c r="AE95" s="25"/>
      <c r="AF95" s="25">
        <f>-84+-2</f>
        <v>-86</v>
      </c>
      <c r="AG95" s="25"/>
      <c r="AH95" s="25"/>
      <c r="AI95" s="25"/>
      <c r="AJ95" s="25">
        <v>-100</v>
      </c>
      <c r="AK95" s="25"/>
      <c r="AL95" s="34">
        <f t="shared" si="1"/>
        <v>37</v>
      </c>
    </row>
    <row r="96" spans="1:42" hidden="1" x14ac:dyDescent="0.25">
      <c r="A96" s="11" t="s">
        <v>31</v>
      </c>
      <c r="B96" s="20" t="s">
        <v>201</v>
      </c>
      <c r="C96" s="20" t="s">
        <v>202</v>
      </c>
      <c r="D96" s="11"/>
      <c r="E96" s="11"/>
      <c r="F96" s="35">
        <f>'Feb 2026'!AI96</f>
        <v>1649</v>
      </c>
      <c r="G96" s="25"/>
      <c r="H96" s="25"/>
      <c r="I96" s="25"/>
      <c r="J96" s="25"/>
      <c r="K96" s="25"/>
      <c r="L96" s="25"/>
      <c r="M96" s="25"/>
      <c r="N96" s="25"/>
      <c r="O96" s="25">
        <v>-64</v>
      </c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34">
        <f t="shared" si="1"/>
        <v>1585</v>
      </c>
    </row>
    <row r="97" spans="1:41" hidden="1" x14ac:dyDescent="0.25">
      <c r="A97" s="11"/>
      <c r="B97" s="20"/>
      <c r="C97" s="20" t="s">
        <v>103</v>
      </c>
      <c r="D97" s="11"/>
      <c r="E97" s="11"/>
      <c r="F97" s="11"/>
      <c r="G97" s="25"/>
      <c r="H97" s="25"/>
      <c r="I97" s="25"/>
      <c r="J97" s="25"/>
      <c r="K97" s="25"/>
      <c r="L97" s="31">
        <v>200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34">
        <f t="shared" si="1"/>
        <v>200</v>
      </c>
    </row>
    <row r="98" spans="1:41" x14ac:dyDescent="0.25">
      <c r="A98" s="11"/>
      <c r="B98" s="20"/>
      <c r="C98" s="2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34"/>
    </row>
    <row r="99" spans="1:41" x14ac:dyDescent="0.25">
      <c r="A99" s="11"/>
      <c r="B99" s="20"/>
      <c r="C99" s="2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26"/>
    </row>
    <row r="100" spans="1:41" x14ac:dyDescent="0.25">
      <c r="A100" s="11"/>
      <c r="B100" s="20"/>
      <c r="C100" s="2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26"/>
    </row>
    <row r="101" spans="1:41" x14ac:dyDescent="0.25">
      <c r="A101" s="11"/>
      <c r="B101" s="20"/>
      <c r="C101" s="2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26"/>
    </row>
    <row r="102" spans="1:41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26"/>
    </row>
    <row r="103" spans="1:41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26"/>
    </row>
    <row r="104" spans="1:41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26"/>
    </row>
    <row r="105" spans="1:41" ht="15.75" thickBot="1" x14ac:dyDescent="0.3">
      <c r="A105" s="1"/>
      <c r="B105" s="2"/>
      <c r="C105" s="2"/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1"/>
      <c r="AM105" s="1"/>
      <c r="AN105" s="1"/>
      <c r="AO105" s="1"/>
    </row>
    <row r="106" spans="1:41" ht="32.25" thickBot="1" x14ac:dyDescent="0.3">
      <c r="A106" s="1"/>
      <c r="B106" s="6" t="s">
        <v>21</v>
      </c>
      <c r="C106" s="18"/>
      <c r="D106" s="19"/>
      <c r="E106" s="9" t="s">
        <v>22</v>
      </c>
      <c r="F106" s="22" t="s">
        <v>23</v>
      </c>
      <c r="G106" s="27" t="s">
        <v>24</v>
      </c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6.5" thickBot="1" x14ac:dyDescent="0.3">
      <c r="A107" s="1"/>
      <c r="B107" s="7" t="s">
        <v>25</v>
      </c>
      <c r="C107" s="19"/>
      <c r="D107" s="19"/>
      <c r="E107" s="8"/>
      <c r="F107" s="21"/>
      <c r="G107" s="54"/>
      <c r="H107" s="5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6.5" thickBot="1" x14ac:dyDescent="0.3">
      <c r="A108" s="1"/>
      <c r="B108" s="7" t="s">
        <v>26</v>
      </c>
      <c r="C108" s="19"/>
      <c r="D108" s="19"/>
      <c r="E108" s="9"/>
      <c r="F108" s="22"/>
      <c r="G108" s="56"/>
      <c r="H108" s="5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6.5" thickBot="1" x14ac:dyDescent="0.3">
      <c r="A109" s="1"/>
      <c r="B109" s="7" t="s">
        <v>27</v>
      </c>
      <c r="C109" s="19"/>
      <c r="D109" s="19"/>
      <c r="E109" s="10"/>
      <c r="F109" s="23"/>
      <c r="G109" s="58"/>
      <c r="H109" s="5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x14ac:dyDescent="0.25">
      <c r="A110" s="1"/>
      <c r="B110" s="60" t="s">
        <v>28</v>
      </c>
      <c r="C110" s="16"/>
      <c r="D110" s="16"/>
      <c r="E110" s="63"/>
      <c r="F110" s="66"/>
      <c r="G110" s="69"/>
      <c r="H110" s="7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x14ac:dyDescent="0.25">
      <c r="A111" s="1"/>
      <c r="B111" s="61"/>
      <c r="C111" s="17"/>
      <c r="D111" s="17"/>
      <c r="E111" s="64"/>
      <c r="F111" s="67"/>
      <c r="G111" s="69"/>
      <c r="H111" s="7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6.5" thickBot="1" x14ac:dyDescent="0.3">
      <c r="A112" s="1"/>
      <c r="B112" s="62"/>
      <c r="C112" s="7"/>
      <c r="D112" s="7"/>
      <c r="E112" s="65"/>
      <c r="F112" s="68"/>
      <c r="G112" s="71"/>
      <c r="H112" s="7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25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</sheetData>
  <autoFilter ref="A10:AO97" xr:uid="{58779EF2-AC87-4C06-A74B-A05E5E4ACE12}">
    <filterColumn colId="2">
      <filters>
        <filter val="Crimping Tool (RJ45)"/>
        <filter val="RJ45  Socket - Right Angle (Metal)"/>
        <filter val="RJ45 Conneector"/>
        <filter val="RJ45 Jack - Striaght Angle (Plastic)"/>
      </filters>
    </filterColumn>
  </autoFilter>
  <mergeCells count="24">
    <mergeCell ref="G107:H107"/>
    <mergeCell ref="G108:H108"/>
    <mergeCell ref="G109:H109"/>
    <mergeCell ref="B110:B112"/>
    <mergeCell ref="E110:E112"/>
    <mergeCell ref="F110:F112"/>
    <mergeCell ref="G110:H11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11:AL104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0B24-E5C7-441B-B01F-7B1D85AD340F}">
  <sheetPr filterMode="1"/>
  <dimension ref="A1:AO113"/>
  <sheetViews>
    <sheetView tabSelected="1" workbookViewId="0">
      <pane xSplit="5" ySplit="10" topLeftCell="V11" activePane="bottomRight" state="frozen"/>
      <selection pane="topRight" activeCell="F1" sqref="F1"/>
      <selection pane="bottomLeft" activeCell="A11" sqref="A11"/>
      <selection pane="bottomRight" activeCell="W31" sqref="W31"/>
    </sheetView>
  </sheetViews>
  <sheetFormatPr defaultRowHeight="15" x14ac:dyDescent="0.25"/>
  <cols>
    <col min="2" max="2" width="12.7109375" bestFit="1" customWidth="1"/>
    <col min="3" max="3" width="53.7109375" bestFit="1" customWidth="1"/>
  </cols>
  <sheetData>
    <row r="1" spans="1:41" ht="22.5" x14ac:dyDescent="0.25">
      <c r="E1" s="37" t="s">
        <v>29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41" x14ac:dyDescent="0.25">
      <c r="E2" s="38" t="s">
        <v>30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41" ht="15.75" x14ac:dyDescent="0.25">
      <c r="E3" s="41" t="s">
        <v>0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41" x14ac:dyDescent="0.25">
      <c r="E4" s="42" t="s">
        <v>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41" ht="15.75" x14ac:dyDescent="0.25">
      <c r="E5" s="43" t="s">
        <v>2</v>
      </c>
      <c r="F5" s="43"/>
      <c r="G5" s="43"/>
      <c r="H5" s="44" t="s">
        <v>3</v>
      </c>
      <c r="I5" s="45"/>
      <c r="J5" s="46"/>
      <c r="K5" s="47" t="s">
        <v>4</v>
      </c>
      <c r="L5" s="47"/>
      <c r="M5" s="11">
        <v>0</v>
      </c>
      <c r="N5" s="48" t="s">
        <v>5</v>
      </c>
      <c r="O5" s="48"/>
      <c r="P5" s="49"/>
      <c r="Q5" s="50"/>
    </row>
    <row r="6" spans="1:41" ht="15.75" x14ac:dyDescent="0.25">
      <c r="E6" s="43" t="s">
        <v>6</v>
      </c>
      <c r="F6" s="43"/>
      <c r="G6" s="43"/>
      <c r="H6" s="51" t="s">
        <v>7</v>
      </c>
      <c r="I6" s="51"/>
      <c r="J6" s="51"/>
      <c r="K6" s="47" t="s">
        <v>8</v>
      </c>
      <c r="L6" s="47"/>
      <c r="M6" s="52" t="s">
        <v>9</v>
      </c>
      <c r="N6" s="52"/>
      <c r="O6" s="52"/>
      <c r="P6" s="52"/>
      <c r="Q6" s="52"/>
    </row>
    <row r="7" spans="1:41" ht="15.75" x14ac:dyDescent="0.25">
      <c r="E7" s="47" t="s">
        <v>10</v>
      </c>
      <c r="F7" s="47"/>
      <c r="G7" s="47"/>
      <c r="H7" s="53"/>
      <c r="I7" s="53"/>
      <c r="J7" s="53"/>
      <c r="K7" s="47" t="s">
        <v>11</v>
      </c>
      <c r="L7" s="47"/>
      <c r="M7" s="52"/>
      <c r="N7" s="52"/>
      <c r="O7" s="52"/>
      <c r="P7" s="52"/>
      <c r="Q7" s="52"/>
    </row>
    <row r="9" spans="1:41" x14ac:dyDescent="0.25">
      <c r="A9" t="s">
        <v>12</v>
      </c>
    </row>
    <row r="10" spans="1:4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205</v>
      </c>
      <c r="G10" s="32">
        <v>46113</v>
      </c>
      <c r="H10" s="32">
        <v>46114</v>
      </c>
      <c r="I10" s="32">
        <v>46115</v>
      </c>
      <c r="J10" s="32">
        <v>46116</v>
      </c>
      <c r="K10" s="32">
        <v>46117</v>
      </c>
      <c r="L10" s="32">
        <v>46118</v>
      </c>
      <c r="M10" s="32">
        <v>46119</v>
      </c>
      <c r="N10" s="32">
        <v>46120</v>
      </c>
      <c r="O10" s="32">
        <v>46121</v>
      </c>
      <c r="P10" s="32">
        <v>46122</v>
      </c>
      <c r="Q10" s="32">
        <v>46123</v>
      </c>
      <c r="R10" s="32">
        <v>46124</v>
      </c>
      <c r="S10" s="32">
        <v>46125</v>
      </c>
      <c r="T10" s="32">
        <v>46126</v>
      </c>
      <c r="U10" s="32">
        <v>46127</v>
      </c>
      <c r="V10" s="32">
        <v>46128</v>
      </c>
      <c r="W10" s="32">
        <v>46129</v>
      </c>
      <c r="X10" s="32">
        <v>46130</v>
      </c>
      <c r="Y10" s="32">
        <v>46131</v>
      </c>
      <c r="Z10" s="32">
        <v>46132</v>
      </c>
      <c r="AA10" s="32">
        <v>46133</v>
      </c>
      <c r="AB10" s="32">
        <v>46134</v>
      </c>
      <c r="AC10" s="32">
        <v>46135</v>
      </c>
      <c r="AD10" s="32">
        <v>46136</v>
      </c>
      <c r="AE10" s="32">
        <v>46137</v>
      </c>
      <c r="AF10" s="32">
        <v>46138</v>
      </c>
      <c r="AG10" s="32">
        <v>46139</v>
      </c>
      <c r="AH10" s="32">
        <v>46140</v>
      </c>
      <c r="AI10" s="32">
        <v>46141</v>
      </c>
      <c r="AJ10" s="32">
        <v>46142</v>
      </c>
      <c r="AK10" s="12" t="s">
        <v>207</v>
      </c>
      <c r="AL10" s="3" t="s">
        <v>18</v>
      </c>
      <c r="AM10" s="3" t="s">
        <v>19</v>
      </c>
      <c r="AN10" s="3" t="s">
        <v>20</v>
      </c>
    </row>
    <row r="11" spans="1:41" x14ac:dyDescent="0.25">
      <c r="A11" s="11" t="s">
        <v>31</v>
      </c>
      <c r="B11" s="20" t="s">
        <v>34</v>
      </c>
      <c r="C11" s="20" t="s">
        <v>35</v>
      </c>
      <c r="D11" s="11"/>
      <c r="E11" s="11"/>
      <c r="F11" s="35">
        <f>'March 2026'!AL11</f>
        <v>3587</v>
      </c>
      <c r="G11" s="25"/>
      <c r="H11" s="25"/>
      <c r="I11" s="25"/>
      <c r="J11" s="25"/>
      <c r="K11" s="25"/>
      <c r="L11" s="31"/>
      <c r="M11" s="25"/>
      <c r="N11" s="25">
        <v>-158</v>
      </c>
      <c r="O11" s="25"/>
      <c r="P11" s="25"/>
      <c r="Q11" s="25"/>
      <c r="R11" s="25"/>
      <c r="S11" s="25">
        <v>-174</v>
      </c>
      <c r="T11" s="25"/>
      <c r="U11" s="25"/>
      <c r="V11" s="25"/>
      <c r="W11" s="25">
        <v>-88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34">
        <f t="shared" ref="AK11:AK42" si="0">F11+SUM(G11:AJ11)</f>
        <v>3167</v>
      </c>
      <c r="AL11">
        <v>200</v>
      </c>
      <c r="AM11">
        <v>250</v>
      </c>
      <c r="AN11">
        <v>1000</v>
      </c>
    </row>
    <row r="12" spans="1:41" x14ac:dyDescent="0.25">
      <c r="A12" s="11" t="s">
        <v>31</v>
      </c>
      <c r="B12" s="20" t="s">
        <v>36</v>
      </c>
      <c r="C12" s="20" t="s">
        <v>37</v>
      </c>
      <c r="D12" s="11"/>
      <c r="E12" s="11"/>
      <c r="F12" s="35">
        <f>'March 2026'!AL12</f>
        <v>503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34">
        <f t="shared" si="0"/>
        <v>503</v>
      </c>
      <c r="AO12" t="s">
        <v>208</v>
      </c>
    </row>
    <row r="13" spans="1:41" x14ac:dyDescent="0.25">
      <c r="A13" s="11" t="s">
        <v>31</v>
      </c>
      <c r="B13" s="20" t="s">
        <v>38</v>
      </c>
      <c r="C13" s="20" t="s">
        <v>39</v>
      </c>
      <c r="D13" s="11"/>
      <c r="E13" s="11"/>
      <c r="F13" s="35">
        <f>'March 2026'!AL13</f>
        <v>315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34">
        <f t="shared" si="0"/>
        <v>315</v>
      </c>
      <c r="AO13" t="s">
        <v>208</v>
      </c>
    </row>
    <row r="14" spans="1:41" x14ac:dyDescent="0.25">
      <c r="A14" s="11" t="s">
        <v>31</v>
      </c>
      <c r="B14" s="20" t="s">
        <v>40</v>
      </c>
      <c r="C14" s="20" t="s">
        <v>41</v>
      </c>
      <c r="D14" s="11"/>
      <c r="E14" s="11"/>
      <c r="F14" s="35">
        <f>'March 2026'!AL14</f>
        <v>397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34">
        <f t="shared" si="0"/>
        <v>397</v>
      </c>
      <c r="AO14" t="s">
        <v>208</v>
      </c>
    </row>
    <row r="15" spans="1:41" x14ac:dyDescent="0.25">
      <c r="A15" s="11" t="s">
        <v>31</v>
      </c>
      <c r="B15" s="20" t="s">
        <v>42</v>
      </c>
      <c r="C15" s="20" t="s">
        <v>43</v>
      </c>
      <c r="D15" s="11"/>
      <c r="E15" s="11"/>
      <c r="F15" s="35">
        <f>'March 2026'!AL15</f>
        <v>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34">
        <f t="shared" si="0"/>
        <v>0</v>
      </c>
      <c r="AO15" t="s">
        <v>208</v>
      </c>
    </row>
    <row r="16" spans="1:41" x14ac:dyDescent="0.25">
      <c r="A16" s="11" t="s">
        <v>31</v>
      </c>
      <c r="B16" s="20" t="s">
        <v>44</v>
      </c>
      <c r="C16" s="20" t="s">
        <v>45</v>
      </c>
      <c r="D16" s="11"/>
      <c r="E16" s="11"/>
      <c r="F16" s="35">
        <f>'March 2026'!AL16</f>
        <v>279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34">
        <f t="shared" si="0"/>
        <v>279</v>
      </c>
      <c r="AL16">
        <v>50</v>
      </c>
      <c r="AM16">
        <v>100</v>
      </c>
      <c r="AN16">
        <v>300</v>
      </c>
    </row>
    <row r="17" spans="1:41" x14ac:dyDescent="0.25">
      <c r="A17" s="11" t="s">
        <v>31</v>
      </c>
      <c r="B17" s="20" t="s">
        <v>46</v>
      </c>
      <c r="C17" s="20" t="s">
        <v>47</v>
      </c>
      <c r="D17" s="11"/>
      <c r="E17" s="11"/>
      <c r="F17" s="35">
        <f>'March 2026'!AL17</f>
        <v>799</v>
      </c>
      <c r="G17" s="25"/>
      <c r="H17" s="25"/>
      <c r="I17" s="25"/>
      <c r="J17" s="25"/>
      <c r="K17" s="25"/>
      <c r="L17" s="25"/>
      <c r="M17" s="25">
        <v>-6</v>
      </c>
      <c r="N17" s="25"/>
      <c r="O17" s="25"/>
      <c r="P17" s="25"/>
      <c r="Q17" s="25"/>
      <c r="R17" s="25"/>
      <c r="S17" s="25">
        <v>-36</v>
      </c>
      <c r="T17" s="25"/>
      <c r="U17" s="25"/>
      <c r="V17" s="25"/>
      <c r="W17" s="25"/>
      <c r="X17" s="25"/>
      <c r="Y17" s="25"/>
      <c r="Z17" s="31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34">
        <f t="shared" si="0"/>
        <v>757</v>
      </c>
      <c r="AL17">
        <v>50</v>
      </c>
      <c r="AM17">
        <v>100</v>
      </c>
      <c r="AN17">
        <v>300</v>
      </c>
    </row>
    <row r="18" spans="1:41" x14ac:dyDescent="0.25">
      <c r="A18" s="11" t="s">
        <v>31</v>
      </c>
      <c r="B18" s="20" t="s">
        <v>48</v>
      </c>
      <c r="C18" s="20" t="s">
        <v>49</v>
      </c>
      <c r="D18" s="11"/>
      <c r="E18" s="11"/>
      <c r="F18" s="35">
        <f>'March 2026'!AL18</f>
        <v>145</v>
      </c>
      <c r="G18" s="25"/>
      <c r="H18" s="25"/>
      <c r="I18" s="25"/>
      <c r="J18" s="25"/>
      <c r="K18" s="31">
        <v>3000</v>
      </c>
      <c r="L18" s="25">
        <f>-40+-100</f>
        <v>-140</v>
      </c>
      <c r="M18" s="25"/>
      <c r="N18" s="25">
        <f>-158+-200</f>
        <v>-358</v>
      </c>
      <c r="O18" s="25"/>
      <c r="P18" s="25">
        <f>-44+-80</f>
        <v>-124</v>
      </c>
      <c r="Q18" s="25"/>
      <c r="R18" s="25"/>
      <c r="S18" s="25">
        <f>-460+-28</f>
        <v>-488</v>
      </c>
      <c r="T18" s="25">
        <v>-108</v>
      </c>
      <c r="U18" s="25"/>
      <c r="V18" s="25">
        <v>-32</v>
      </c>
      <c r="W18" s="31">
        <v>3000</v>
      </c>
      <c r="X18" s="25">
        <v>-88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34">
        <f t="shared" si="0"/>
        <v>4807</v>
      </c>
      <c r="AL18">
        <v>200</v>
      </c>
      <c r="AM18">
        <v>250</v>
      </c>
      <c r="AN18">
        <v>2000</v>
      </c>
    </row>
    <row r="19" spans="1:41" x14ac:dyDescent="0.25">
      <c r="A19" s="11" t="s">
        <v>31</v>
      </c>
      <c r="B19" s="20" t="s">
        <v>50</v>
      </c>
      <c r="C19" s="20" t="s">
        <v>51</v>
      </c>
      <c r="D19" s="11"/>
      <c r="E19" s="11"/>
      <c r="F19" s="35">
        <f>'March 2026'!AL19</f>
        <v>1103</v>
      </c>
      <c r="G19" s="25"/>
      <c r="H19" s="25"/>
      <c r="I19" s="25"/>
      <c r="J19" s="25"/>
      <c r="K19" s="25"/>
      <c r="L19" s="25"/>
      <c r="M19" s="25"/>
      <c r="N19" s="25">
        <v>-80</v>
      </c>
      <c r="O19" s="25"/>
      <c r="P19" s="25"/>
      <c r="Q19" s="25"/>
      <c r="R19" s="25"/>
      <c r="S19" s="25">
        <v>-390</v>
      </c>
      <c r="T19" s="25"/>
      <c r="U19" s="25"/>
      <c r="V19" s="25"/>
      <c r="W19" s="31">
        <v>1000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34">
        <f t="shared" si="0"/>
        <v>1633</v>
      </c>
      <c r="AL19">
        <v>100</v>
      </c>
      <c r="AM19">
        <v>150</v>
      </c>
      <c r="AN19">
        <v>500</v>
      </c>
    </row>
    <row r="20" spans="1:41" hidden="1" x14ac:dyDescent="0.25">
      <c r="A20" s="11" t="s">
        <v>31</v>
      </c>
      <c r="B20" s="20" t="s">
        <v>52</v>
      </c>
      <c r="C20" s="20" t="s">
        <v>53</v>
      </c>
      <c r="D20" s="11"/>
      <c r="E20" s="11"/>
      <c r="F20" s="35">
        <f>'March 2026'!AL20</f>
        <v>125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34">
        <f t="shared" si="0"/>
        <v>125</v>
      </c>
      <c r="AO20" t="s">
        <v>208</v>
      </c>
    </row>
    <row r="21" spans="1:41" hidden="1" x14ac:dyDescent="0.25">
      <c r="A21" s="11" t="s">
        <v>31</v>
      </c>
      <c r="B21" s="20" t="s">
        <v>54</v>
      </c>
      <c r="C21" s="20" t="s">
        <v>55</v>
      </c>
      <c r="D21" s="11"/>
      <c r="E21" s="11"/>
      <c r="F21" s="35">
        <f>'March 2026'!AL21</f>
        <v>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34">
        <f t="shared" si="0"/>
        <v>0</v>
      </c>
      <c r="AO21" t="s">
        <v>208</v>
      </c>
    </row>
    <row r="22" spans="1:41" hidden="1" x14ac:dyDescent="0.25">
      <c r="A22" s="11" t="s">
        <v>31</v>
      </c>
      <c r="B22" s="20" t="s">
        <v>56</v>
      </c>
      <c r="C22" s="20" t="s">
        <v>57</v>
      </c>
      <c r="D22" s="11"/>
      <c r="E22" s="11"/>
      <c r="F22" s="35">
        <f>'March 2026'!AL22</f>
        <v>272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34">
        <f t="shared" si="0"/>
        <v>272</v>
      </c>
      <c r="AO22" t="s">
        <v>208</v>
      </c>
    </row>
    <row r="23" spans="1:41" hidden="1" x14ac:dyDescent="0.25">
      <c r="A23" s="11" t="s">
        <v>31</v>
      </c>
      <c r="B23" s="20" t="s">
        <v>58</v>
      </c>
      <c r="C23" s="20" t="s">
        <v>59</v>
      </c>
      <c r="D23" s="11"/>
      <c r="E23" s="11"/>
      <c r="F23" s="35">
        <f>'March 2026'!AL23</f>
        <v>43</v>
      </c>
      <c r="G23" s="25"/>
      <c r="H23" s="25"/>
      <c r="I23" s="25">
        <v>-50</v>
      </c>
      <c r="J23" s="25"/>
      <c r="K23" s="25"/>
      <c r="L23" s="25"/>
      <c r="M23" s="25">
        <v>-4</v>
      </c>
      <c r="N23" s="25"/>
      <c r="O23" s="25"/>
      <c r="P23" s="25"/>
      <c r="Q23" s="25"/>
      <c r="R23" s="25"/>
      <c r="S23" s="25">
        <v>-24</v>
      </c>
      <c r="T23" s="25"/>
      <c r="U23" s="25">
        <v>-60</v>
      </c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34">
        <f t="shared" si="0"/>
        <v>-95</v>
      </c>
      <c r="AL23">
        <v>100</v>
      </c>
      <c r="AM23">
        <v>150</v>
      </c>
      <c r="AN23">
        <v>500</v>
      </c>
    </row>
    <row r="24" spans="1:41" hidden="1" x14ac:dyDescent="0.25">
      <c r="A24" s="11" t="s">
        <v>31</v>
      </c>
      <c r="B24" s="20" t="s">
        <v>60</v>
      </c>
      <c r="C24" s="20" t="s">
        <v>61</v>
      </c>
      <c r="D24" s="11"/>
      <c r="E24" s="11"/>
      <c r="F24" s="35">
        <f>'March 2026'!AL24</f>
        <v>0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34">
        <f t="shared" si="0"/>
        <v>0</v>
      </c>
      <c r="AO24" t="s">
        <v>208</v>
      </c>
    </row>
    <row r="25" spans="1:41" hidden="1" x14ac:dyDescent="0.25">
      <c r="A25" s="11" t="s">
        <v>31</v>
      </c>
      <c r="B25" s="20" t="s">
        <v>62</v>
      </c>
      <c r="C25" s="20" t="s">
        <v>63</v>
      </c>
      <c r="D25" s="11"/>
      <c r="E25" s="11"/>
      <c r="F25" s="35">
        <f>'March 2026'!AL25</f>
        <v>999</v>
      </c>
      <c r="G25" s="25"/>
      <c r="H25" s="25"/>
      <c r="I25" s="25"/>
      <c r="J25" s="25"/>
      <c r="K25" s="25"/>
      <c r="L25" s="25"/>
      <c r="M25" s="25">
        <v>-18</v>
      </c>
      <c r="N25" s="25"/>
      <c r="O25" s="25"/>
      <c r="P25" s="25"/>
      <c r="Q25" s="25"/>
      <c r="R25" s="25"/>
      <c r="S25" s="25">
        <v>-108</v>
      </c>
      <c r="T25" s="25"/>
      <c r="U25" s="25"/>
      <c r="V25" s="25"/>
      <c r="W25" s="25"/>
      <c r="X25" s="25"/>
      <c r="Y25" s="25"/>
      <c r="Z25" s="31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34">
        <f t="shared" si="0"/>
        <v>873</v>
      </c>
      <c r="AL25">
        <v>100</v>
      </c>
      <c r="AM25">
        <v>150</v>
      </c>
      <c r="AN25">
        <v>500</v>
      </c>
    </row>
    <row r="26" spans="1:41" hidden="1" x14ac:dyDescent="0.25">
      <c r="A26" s="11" t="s">
        <v>31</v>
      </c>
      <c r="B26" s="20" t="s">
        <v>64</v>
      </c>
      <c r="C26" s="20" t="s">
        <v>65</v>
      </c>
      <c r="D26" s="11"/>
      <c r="E26" s="11"/>
      <c r="F26" s="35">
        <f>'March 2026'!AL26</f>
        <v>1061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34">
        <f t="shared" si="0"/>
        <v>1061</v>
      </c>
      <c r="AO26" t="s">
        <v>208</v>
      </c>
    </row>
    <row r="27" spans="1:41" hidden="1" x14ac:dyDescent="0.25">
      <c r="A27" s="11" t="s">
        <v>31</v>
      </c>
      <c r="B27" s="20" t="s">
        <v>66</v>
      </c>
      <c r="C27" s="20" t="s">
        <v>67</v>
      </c>
      <c r="D27" s="11"/>
      <c r="E27" s="11"/>
      <c r="F27" s="35">
        <f>'March 2026'!AL27</f>
        <v>908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34">
        <f t="shared" si="0"/>
        <v>908</v>
      </c>
      <c r="AO27" t="s">
        <v>208</v>
      </c>
    </row>
    <row r="28" spans="1:41" x14ac:dyDescent="0.25">
      <c r="A28" s="11" t="s">
        <v>31</v>
      </c>
      <c r="B28" s="20" t="s">
        <v>68</v>
      </c>
      <c r="C28" s="20" t="s">
        <v>69</v>
      </c>
      <c r="D28" s="11"/>
      <c r="E28" s="11"/>
      <c r="F28" s="35">
        <f>'March 2026'!AL28</f>
        <v>493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34">
        <f t="shared" si="0"/>
        <v>493</v>
      </c>
      <c r="AO28" t="s">
        <v>208</v>
      </c>
    </row>
    <row r="29" spans="1:41" x14ac:dyDescent="0.25">
      <c r="A29" s="11" t="s">
        <v>31</v>
      </c>
      <c r="B29" s="20" t="s">
        <v>70</v>
      </c>
      <c r="C29" s="20" t="s">
        <v>71</v>
      </c>
      <c r="D29" s="11"/>
      <c r="E29" s="11"/>
      <c r="F29" s="35">
        <f>'March 2026'!AL29</f>
        <v>2460</v>
      </c>
      <c r="G29" s="25"/>
      <c r="H29" s="25"/>
      <c r="I29" s="25">
        <v>-100</v>
      </c>
      <c r="J29" s="25"/>
      <c r="K29" s="25"/>
      <c r="L29" s="31"/>
      <c r="M29" s="25"/>
      <c r="N29" s="25">
        <f>-158+-160</f>
        <v>-318</v>
      </c>
      <c r="O29" s="25"/>
      <c r="P29" s="25"/>
      <c r="Q29" s="25"/>
      <c r="R29" s="25"/>
      <c r="S29" s="25">
        <f>-100+-174</f>
        <v>-274</v>
      </c>
      <c r="T29" s="25">
        <v>-108</v>
      </c>
      <c r="U29" s="25">
        <f>-120+-120</f>
        <v>-240</v>
      </c>
      <c r="V29" s="25"/>
      <c r="W29" s="25">
        <v>-88</v>
      </c>
      <c r="X29" s="25"/>
      <c r="Y29" s="25"/>
      <c r="Z29" s="31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34">
        <f t="shared" si="0"/>
        <v>1332</v>
      </c>
      <c r="AL29">
        <v>200</v>
      </c>
      <c r="AM29">
        <v>500</v>
      </c>
      <c r="AN29">
        <v>2000</v>
      </c>
    </row>
    <row r="30" spans="1:41" x14ac:dyDescent="0.25">
      <c r="A30" s="11" t="s">
        <v>31</v>
      </c>
      <c r="B30" s="20" t="s">
        <v>72</v>
      </c>
      <c r="C30" s="20" t="s">
        <v>73</v>
      </c>
      <c r="D30" s="11"/>
      <c r="E30" s="11"/>
      <c r="F30" s="35">
        <f>'March 2026'!AL30</f>
        <v>1232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34">
        <f t="shared" si="0"/>
        <v>1232</v>
      </c>
      <c r="AO30" t="s">
        <v>208</v>
      </c>
    </row>
    <row r="31" spans="1:41" x14ac:dyDescent="0.25">
      <c r="A31" s="11" t="s">
        <v>31</v>
      </c>
      <c r="B31" s="20" t="s">
        <v>74</v>
      </c>
      <c r="C31" s="20" t="s">
        <v>75</v>
      </c>
      <c r="D31" s="11"/>
      <c r="E31" s="11"/>
      <c r="F31" s="35">
        <f>'March 2026'!AL31</f>
        <v>2770</v>
      </c>
      <c r="G31" s="25"/>
      <c r="H31" s="25"/>
      <c r="I31" s="25"/>
      <c r="J31" s="25"/>
      <c r="K31" s="25"/>
      <c r="L31" s="25">
        <v>-80</v>
      </c>
      <c r="M31" s="25"/>
      <c r="N31" s="25">
        <f>-316+-20</f>
        <v>-336</v>
      </c>
      <c r="O31" s="25"/>
      <c r="P31" s="25"/>
      <c r="Q31" s="25"/>
      <c r="R31" s="25"/>
      <c r="S31" s="25"/>
      <c r="T31" s="25"/>
      <c r="U31" s="25"/>
      <c r="V31" s="25"/>
      <c r="W31" s="31">
        <v>3000</v>
      </c>
      <c r="X31" s="25">
        <v>-176</v>
      </c>
      <c r="Y31" s="25"/>
      <c r="Z31" s="31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34">
        <f t="shared" si="0"/>
        <v>5178</v>
      </c>
      <c r="AL31">
        <v>200</v>
      </c>
      <c r="AM31">
        <v>500</v>
      </c>
      <c r="AN31">
        <v>2000</v>
      </c>
    </row>
    <row r="32" spans="1:41" x14ac:dyDescent="0.25">
      <c r="A32" s="11" t="s">
        <v>31</v>
      </c>
      <c r="B32" s="20" t="s">
        <v>76</v>
      </c>
      <c r="C32" s="20" t="s">
        <v>77</v>
      </c>
      <c r="D32" s="11"/>
      <c r="E32" s="11"/>
      <c r="F32" s="35">
        <f>'March 2026'!AL32</f>
        <v>1454</v>
      </c>
      <c r="G32" s="25"/>
      <c r="H32" s="25">
        <v>-40</v>
      </c>
      <c r="I32" s="25">
        <v>-100</v>
      </c>
      <c r="J32" s="25"/>
      <c r="K32" s="25"/>
      <c r="L32" s="25">
        <v>-100</v>
      </c>
      <c r="M32" s="25"/>
      <c r="N32" s="25">
        <v>-200</v>
      </c>
      <c r="O32" s="25"/>
      <c r="P32" s="25">
        <v>-200</v>
      </c>
      <c r="Q32" s="25"/>
      <c r="R32" s="25"/>
      <c r="S32" s="25">
        <v>-460</v>
      </c>
      <c r="T32" s="25">
        <v>-108</v>
      </c>
      <c r="U32" s="25"/>
      <c r="V32" s="25">
        <v>-24</v>
      </c>
      <c r="W32" s="31">
        <v>3000</v>
      </c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34">
        <f t="shared" si="0"/>
        <v>3222</v>
      </c>
      <c r="AL32">
        <v>200</v>
      </c>
      <c r="AM32">
        <v>250</v>
      </c>
      <c r="AN32">
        <v>2000</v>
      </c>
    </row>
    <row r="33" spans="1:41" hidden="1" x14ac:dyDescent="0.25">
      <c r="A33" s="11" t="s">
        <v>31</v>
      </c>
      <c r="B33" s="20" t="s">
        <v>78</v>
      </c>
      <c r="C33" s="20" t="s">
        <v>79</v>
      </c>
      <c r="D33" s="11"/>
      <c r="E33" s="11"/>
      <c r="F33" s="35">
        <f>'March 2026'!AL33</f>
        <v>771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34">
        <f t="shared" si="0"/>
        <v>771</v>
      </c>
      <c r="AO33" t="s">
        <v>208</v>
      </c>
    </row>
    <row r="34" spans="1:41" x14ac:dyDescent="0.25">
      <c r="A34" s="11" t="s">
        <v>31</v>
      </c>
      <c r="B34" s="20" t="s">
        <v>80</v>
      </c>
      <c r="C34" s="20" t="s">
        <v>81</v>
      </c>
      <c r="D34" s="11"/>
      <c r="E34" s="11"/>
      <c r="F34" s="35">
        <f>'March 2026'!AL34</f>
        <v>204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34">
        <f t="shared" si="0"/>
        <v>204</v>
      </c>
      <c r="AO34" t="s">
        <v>208</v>
      </c>
    </row>
    <row r="35" spans="1:41" x14ac:dyDescent="0.25">
      <c r="A35" s="11" t="s">
        <v>31</v>
      </c>
      <c r="B35" s="20" t="s">
        <v>82</v>
      </c>
      <c r="C35" s="20" t="s">
        <v>83</v>
      </c>
      <c r="D35" s="11"/>
      <c r="E35" s="11"/>
      <c r="F35" s="35">
        <f>'March 2026'!AL35</f>
        <v>179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34">
        <f t="shared" si="0"/>
        <v>179</v>
      </c>
      <c r="AO35" t="s">
        <v>208</v>
      </c>
    </row>
    <row r="36" spans="1:41" x14ac:dyDescent="0.25">
      <c r="A36" s="11" t="s">
        <v>31</v>
      </c>
      <c r="B36" s="20" t="s">
        <v>84</v>
      </c>
      <c r="C36" s="20" t="s">
        <v>85</v>
      </c>
      <c r="D36" s="11"/>
      <c r="E36" s="11"/>
      <c r="F36" s="35">
        <f>'March 2026'!AL36</f>
        <v>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34">
        <f t="shared" si="0"/>
        <v>0</v>
      </c>
      <c r="AO36" t="s">
        <v>208</v>
      </c>
    </row>
    <row r="37" spans="1:41" hidden="1" x14ac:dyDescent="0.25">
      <c r="A37" s="11" t="s">
        <v>31</v>
      </c>
      <c r="B37" s="20" t="s">
        <v>86</v>
      </c>
      <c r="C37" s="20" t="s">
        <v>87</v>
      </c>
      <c r="D37" s="11"/>
      <c r="E37" s="11"/>
      <c r="F37" s="35">
        <f>'March 2026'!AL37</f>
        <v>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34">
        <f t="shared" si="0"/>
        <v>0</v>
      </c>
      <c r="AO37" t="s">
        <v>208</v>
      </c>
    </row>
    <row r="38" spans="1:41" x14ac:dyDescent="0.25">
      <c r="A38" s="11" t="s">
        <v>31</v>
      </c>
      <c r="B38" s="20" t="s">
        <v>88</v>
      </c>
      <c r="C38" s="20" t="s">
        <v>89</v>
      </c>
      <c r="D38" s="11"/>
      <c r="E38" s="11"/>
      <c r="F38" s="35">
        <f>'March 2026'!AL38</f>
        <v>139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31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34">
        <f t="shared" si="0"/>
        <v>139</v>
      </c>
      <c r="AO38" t="s">
        <v>208</v>
      </c>
    </row>
    <row r="39" spans="1:41" hidden="1" x14ac:dyDescent="0.25">
      <c r="A39" s="11" t="s">
        <v>31</v>
      </c>
      <c r="B39" s="20" t="s">
        <v>90</v>
      </c>
      <c r="C39" s="20" t="s">
        <v>91</v>
      </c>
      <c r="D39" s="11"/>
      <c r="E39" s="11"/>
      <c r="F39" s="35">
        <f>'March 2026'!AL39</f>
        <v>100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34">
        <f t="shared" si="0"/>
        <v>100</v>
      </c>
      <c r="AO39" t="s">
        <v>208</v>
      </c>
    </row>
    <row r="40" spans="1:41" x14ac:dyDescent="0.25">
      <c r="A40" s="11" t="s">
        <v>31</v>
      </c>
      <c r="B40" s="20" t="s">
        <v>92</v>
      </c>
      <c r="C40" s="20" t="s">
        <v>93</v>
      </c>
      <c r="D40" s="11"/>
      <c r="E40" s="11"/>
      <c r="F40" s="35">
        <f>'March 2026'!AL40</f>
        <v>500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34">
        <f t="shared" si="0"/>
        <v>500</v>
      </c>
      <c r="AO40" t="s">
        <v>208</v>
      </c>
    </row>
    <row r="41" spans="1:41" hidden="1" x14ac:dyDescent="0.25">
      <c r="A41" s="11" t="s">
        <v>31</v>
      </c>
      <c r="B41" s="20" t="s">
        <v>94</v>
      </c>
      <c r="C41" s="20" t="s">
        <v>95</v>
      </c>
      <c r="D41" s="11"/>
      <c r="E41" s="11"/>
      <c r="F41" s="35">
        <f>'March 2026'!AL41</f>
        <v>26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34">
        <f t="shared" si="0"/>
        <v>26</v>
      </c>
      <c r="AO41" t="s">
        <v>208</v>
      </c>
    </row>
    <row r="42" spans="1:41" hidden="1" x14ac:dyDescent="0.25">
      <c r="A42" s="11" t="s">
        <v>31</v>
      </c>
      <c r="B42" s="20" t="s">
        <v>96</v>
      </c>
      <c r="C42" s="20" t="s">
        <v>97</v>
      </c>
      <c r="D42" s="11"/>
      <c r="E42" s="11"/>
      <c r="F42" s="35">
        <f>'March 2026'!AL42</f>
        <v>40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34">
        <f t="shared" si="0"/>
        <v>40</v>
      </c>
      <c r="AO42" t="s">
        <v>208</v>
      </c>
    </row>
    <row r="43" spans="1:41" hidden="1" x14ac:dyDescent="0.25">
      <c r="A43" s="11" t="s">
        <v>31</v>
      </c>
      <c r="B43" s="20" t="s">
        <v>98</v>
      </c>
      <c r="C43" s="20" t="s">
        <v>99</v>
      </c>
      <c r="D43" s="11"/>
      <c r="E43" s="11"/>
      <c r="F43" s="35">
        <f>'March 2026'!AL43</f>
        <v>96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4">
        <f t="shared" ref="AK43:AK74" si="1">F43+SUM(G43:AJ43)</f>
        <v>96</v>
      </c>
      <c r="AO43" t="s">
        <v>208</v>
      </c>
    </row>
    <row r="44" spans="1:41" hidden="1" x14ac:dyDescent="0.25">
      <c r="A44" s="11" t="s">
        <v>31</v>
      </c>
      <c r="B44" s="20" t="s">
        <v>100</v>
      </c>
      <c r="C44" s="20" t="s">
        <v>101</v>
      </c>
      <c r="D44" s="11"/>
      <c r="E44" s="11"/>
      <c r="F44" s="35">
        <f>'March 2026'!AL44</f>
        <v>41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34">
        <f t="shared" si="1"/>
        <v>41</v>
      </c>
      <c r="AO44" t="s">
        <v>208</v>
      </c>
    </row>
    <row r="45" spans="1:41" hidden="1" x14ac:dyDescent="0.25">
      <c r="A45" s="11" t="s">
        <v>31</v>
      </c>
      <c r="B45" s="20" t="s">
        <v>102</v>
      </c>
      <c r="C45" s="20" t="s">
        <v>103</v>
      </c>
      <c r="D45" s="11"/>
      <c r="E45" s="11"/>
      <c r="F45" s="35">
        <f>'March 2026'!AL45</f>
        <v>163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34">
        <f t="shared" si="1"/>
        <v>163</v>
      </c>
      <c r="AO45" t="s">
        <v>208</v>
      </c>
    </row>
    <row r="46" spans="1:41" hidden="1" x14ac:dyDescent="0.25">
      <c r="A46" s="11" t="s">
        <v>31</v>
      </c>
      <c r="B46" s="20" t="s">
        <v>104</v>
      </c>
      <c r="C46" s="20" t="s">
        <v>105</v>
      </c>
      <c r="D46" s="11"/>
      <c r="E46" s="11"/>
      <c r="F46" s="35">
        <f>'March 2026'!AL46</f>
        <v>45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34">
        <f t="shared" si="1"/>
        <v>45</v>
      </c>
      <c r="AO46" t="s">
        <v>208</v>
      </c>
    </row>
    <row r="47" spans="1:41" hidden="1" x14ac:dyDescent="0.25">
      <c r="A47" s="11" t="s">
        <v>31</v>
      </c>
      <c r="B47" s="20" t="s">
        <v>106</v>
      </c>
      <c r="C47" s="20" t="s">
        <v>107</v>
      </c>
      <c r="D47" s="11"/>
      <c r="E47" s="11"/>
      <c r="F47" s="35">
        <f>'March 2026'!AL47</f>
        <v>322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34">
        <f t="shared" si="1"/>
        <v>322</v>
      </c>
      <c r="AO47" t="s">
        <v>208</v>
      </c>
    </row>
    <row r="48" spans="1:41" hidden="1" x14ac:dyDescent="0.25">
      <c r="A48" s="11" t="s">
        <v>203</v>
      </c>
      <c r="B48" s="20" t="s">
        <v>108</v>
      </c>
      <c r="C48" s="20" t="s">
        <v>109</v>
      </c>
      <c r="D48" s="11"/>
      <c r="E48" s="11"/>
      <c r="F48" s="35">
        <f>'March 2026'!AL48</f>
        <v>0</v>
      </c>
      <c r="G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31"/>
      <c r="AB48" s="25"/>
      <c r="AC48" s="25"/>
      <c r="AD48" s="25"/>
      <c r="AE48" s="25"/>
      <c r="AF48" s="25"/>
      <c r="AG48" s="25"/>
      <c r="AH48" s="25"/>
      <c r="AI48" s="25"/>
      <c r="AJ48" s="25"/>
      <c r="AK48" s="34">
        <f t="shared" si="1"/>
        <v>0</v>
      </c>
      <c r="AL48">
        <v>1</v>
      </c>
      <c r="AM48">
        <v>2</v>
      </c>
      <c r="AN48">
        <v>5</v>
      </c>
    </row>
    <row r="49" spans="1:41" hidden="1" x14ac:dyDescent="0.25">
      <c r="A49" s="11" t="s">
        <v>203</v>
      </c>
      <c r="B49" s="20" t="s">
        <v>110</v>
      </c>
      <c r="C49" s="20" t="s">
        <v>111</v>
      </c>
      <c r="D49" s="11"/>
      <c r="E49" s="11"/>
      <c r="F49" s="35">
        <f>'March 2026'!AL49</f>
        <v>0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34">
        <f t="shared" si="1"/>
        <v>0</v>
      </c>
      <c r="AL49">
        <v>1</v>
      </c>
      <c r="AM49">
        <v>2</v>
      </c>
      <c r="AN49">
        <v>2</v>
      </c>
    </row>
    <row r="50" spans="1:41" hidden="1" x14ac:dyDescent="0.25">
      <c r="A50" s="11" t="s">
        <v>32</v>
      </c>
      <c r="B50" s="20" t="s">
        <v>112</v>
      </c>
      <c r="C50" s="20" t="s">
        <v>113</v>
      </c>
      <c r="D50" s="11"/>
      <c r="E50" s="11"/>
      <c r="F50" s="35">
        <f>'March 2026'!AL50</f>
        <v>0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34">
        <f t="shared" si="1"/>
        <v>0</v>
      </c>
      <c r="AO50" t="s">
        <v>208</v>
      </c>
    </row>
    <row r="51" spans="1:41" hidden="1" x14ac:dyDescent="0.25">
      <c r="A51" s="11" t="s">
        <v>32</v>
      </c>
      <c r="B51" s="20" t="s">
        <v>114</v>
      </c>
      <c r="C51" s="20" t="s">
        <v>115</v>
      </c>
      <c r="D51" s="11"/>
      <c r="E51" s="11"/>
      <c r="F51" s="35">
        <f>'March 2026'!AL51</f>
        <v>0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34">
        <f t="shared" si="1"/>
        <v>0</v>
      </c>
      <c r="AO51" t="s">
        <v>208</v>
      </c>
    </row>
    <row r="52" spans="1:41" hidden="1" x14ac:dyDescent="0.25">
      <c r="A52" s="11" t="s">
        <v>203</v>
      </c>
      <c r="B52" s="20" t="s">
        <v>116</v>
      </c>
      <c r="C52" s="20" t="s">
        <v>117</v>
      </c>
      <c r="D52" s="11"/>
      <c r="E52" s="11"/>
      <c r="F52" s="35">
        <f>'March 2026'!AL52</f>
        <v>1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34">
        <f t="shared" si="1"/>
        <v>1</v>
      </c>
      <c r="AO52" t="s">
        <v>208</v>
      </c>
    </row>
    <row r="53" spans="1:41" hidden="1" x14ac:dyDescent="0.25">
      <c r="A53" s="11" t="s">
        <v>203</v>
      </c>
      <c r="B53" s="20" t="s">
        <v>118</v>
      </c>
      <c r="C53" s="20" t="s">
        <v>119</v>
      </c>
      <c r="D53" s="11"/>
      <c r="E53" s="11"/>
      <c r="F53" s="35">
        <f>'March 2026'!AL53</f>
        <v>0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34">
        <f t="shared" si="1"/>
        <v>0</v>
      </c>
      <c r="AL53">
        <v>1</v>
      </c>
      <c r="AM53">
        <v>2</v>
      </c>
      <c r="AN53">
        <v>5</v>
      </c>
    </row>
    <row r="54" spans="1:41" hidden="1" x14ac:dyDescent="0.25">
      <c r="A54" s="11" t="s">
        <v>203</v>
      </c>
      <c r="B54" s="20" t="s">
        <v>120</v>
      </c>
      <c r="C54" s="20" t="s">
        <v>121</v>
      </c>
      <c r="D54" s="11"/>
      <c r="E54" s="11"/>
      <c r="F54" s="35">
        <f>'March 2026'!AL54</f>
        <v>0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34">
        <f t="shared" si="1"/>
        <v>0</v>
      </c>
      <c r="AL54">
        <v>1</v>
      </c>
      <c r="AM54">
        <v>2</v>
      </c>
      <c r="AN54">
        <v>5</v>
      </c>
    </row>
    <row r="55" spans="1:41" hidden="1" x14ac:dyDescent="0.25">
      <c r="A55" s="11" t="s">
        <v>203</v>
      </c>
      <c r="B55" s="20" t="s">
        <v>122</v>
      </c>
      <c r="C55" s="20" t="s">
        <v>123</v>
      </c>
      <c r="D55" s="11"/>
      <c r="E55" s="11"/>
      <c r="F55" s="35">
        <f>'March 2026'!AL55</f>
        <v>5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34">
        <f t="shared" si="1"/>
        <v>5</v>
      </c>
      <c r="AO55" t="s">
        <v>208</v>
      </c>
    </row>
    <row r="56" spans="1:41" hidden="1" x14ac:dyDescent="0.25">
      <c r="A56" s="11" t="s">
        <v>203</v>
      </c>
      <c r="B56" s="20" t="s">
        <v>124</v>
      </c>
      <c r="C56" s="20" t="s">
        <v>125</v>
      </c>
      <c r="D56" s="11"/>
      <c r="E56" s="11"/>
      <c r="F56" s="35">
        <f>'March 2026'!AL56</f>
        <v>1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>
        <v>-2</v>
      </c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34">
        <f t="shared" si="1"/>
        <v>-1</v>
      </c>
      <c r="AL56">
        <v>1</v>
      </c>
      <c r="AM56">
        <v>2</v>
      </c>
      <c r="AN56">
        <v>5</v>
      </c>
    </row>
    <row r="57" spans="1:41" hidden="1" x14ac:dyDescent="0.25">
      <c r="A57" s="11"/>
      <c r="B57" s="20" t="s">
        <v>126</v>
      </c>
      <c r="C57" s="20" t="s">
        <v>127</v>
      </c>
      <c r="D57" s="11"/>
      <c r="E57" s="11"/>
      <c r="F57" s="35">
        <f>'March 2026'!AL57</f>
        <v>0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34">
        <f t="shared" si="1"/>
        <v>0</v>
      </c>
      <c r="AO57" t="s">
        <v>208</v>
      </c>
    </row>
    <row r="58" spans="1:41" hidden="1" x14ac:dyDescent="0.25">
      <c r="A58" s="11"/>
      <c r="B58" s="20" t="s">
        <v>128</v>
      </c>
      <c r="C58" s="20" t="s">
        <v>129</v>
      </c>
      <c r="D58" s="11"/>
      <c r="E58" s="11"/>
      <c r="F58" s="35">
        <f>'March 2026'!AL58</f>
        <v>0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34">
        <f t="shared" si="1"/>
        <v>0</v>
      </c>
      <c r="AO58" t="s">
        <v>208</v>
      </c>
    </row>
    <row r="59" spans="1:41" hidden="1" x14ac:dyDescent="0.25">
      <c r="A59" s="11" t="s">
        <v>203</v>
      </c>
      <c r="B59" s="20" t="s">
        <v>130</v>
      </c>
      <c r="C59" s="20" t="s">
        <v>131</v>
      </c>
      <c r="D59" s="11"/>
      <c r="E59" s="11"/>
      <c r="F59" s="35">
        <f>'March 2026'!AL59</f>
        <v>241</v>
      </c>
      <c r="G59" s="25"/>
      <c r="H59" s="25"/>
      <c r="I59" s="25"/>
      <c r="J59" s="25"/>
      <c r="K59" s="25"/>
      <c r="L59" s="31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34">
        <f t="shared" si="1"/>
        <v>241</v>
      </c>
      <c r="AL59">
        <v>25</v>
      </c>
      <c r="AM59">
        <v>50</v>
      </c>
      <c r="AN59">
        <v>200</v>
      </c>
    </row>
    <row r="60" spans="1:41" hidden="1" x14ac:dyDescent="0.25">
      <c r="A60" s="11"/>
      <c r="B60" s="20" t="s">
        <v>132</v>
      </c>
      <c r="C60" s="20" t="s">
        <v>133</v>
      </c>
      <c r="D60" s="11"/>
      <c r="E60" s="11"/>
      <c r="F60" s="35">
        <f>'March 2026'!AL60</f>
        <v>4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34">
        <f t="shared" si="1"/>
        <v>4</v>
      </c>
      <c r="AO60" t="s">
        <v>208</v>
      </c>
    </row>
    <row r="61" spans="1:41" hidden="1" x14ac:dyDescent="0.25">
      <c r="A61" s="11"/>
      <c r="B61" s="20" t="s">
        <v>134</v>
      </c>
      <c r="C61" s="20" t="s">
        <v>135</v>
      </c>
      <c r="D61" s="11"/>
      <c r="E61" s="11"/>
      <c r="F61" s="35">
        <f>'March 2026'!AL61</f>
        <v>0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34">
        <f t="shared" si="1"/>
        <v>0</v>
      </c>
      <c r="AL61">
        <v>2</v>
      </c>
      <c r="AM61">
        <v>5</v>
      </c>
      <c r="AN61">
        <v>10</v>
      </c>
    </row>
    <row r="62" spans="1:41" hidden="1" x14ac:dyDescent="0.25">
      <c r="A62" s="11" t="s">
        <v>203</v>
      </c>
      <c r="B62" s="20"/>
      <c r="C62" s="20" t="s">
        <v>136</v>
      </c>
      <c r="D62" s="11"/>
      <c r="E62" s="11"/>
      <c r="F62" s="35">
        <f>'March 2026'!AL62</f>
        <v>4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34">
        <f t="shared" si="1"/>
        <v>4</v>
      </c>
      <c r="AO62" t="s">
        <v>208</v>
      </c>
    </row>
    <row r="63" spans="1:41" hidden="1" x14ac:dyDescent="0.25">
      <c r="A63" s="11" t="s">
        <v>203</v>
      </c>
      <c r="B63" s="20" t="s">
        <v>137</v>
      </c>
      <c r="C63" s="20" t="s">
        <v>138</v>
      </c>
      <c r="D63" s="11"/>
      <c r="E63" s="11"/>
      <c r="F63" s="35">
        <f>'March 2026'!AL63</f>
        <v>1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34">
        <f t="shared" si="1"/>
        <v>1</v>
      </c>
      <c r="AO63" t="s">
        <v>208</v>
      </c>
    </row>
    <row r="64" spans="1:41" hidden="1" x14ac:dyDescent="0.25">
      <c r="A64" s="11" t="s">
        <v>203</v>
      </c>
      <c r="B64" s="20" t="s">
        <v>139</v>
      </c>
      <c r="C64" s="20" t="s">
        <v>140</v>
      </c>
      <c r="D64" s="11"/>
      <c r="E64" s="11"/>
      <c r="F64" s="35">
        <f>'March 2026'!AL64</f>
        <v>15</v>
      </c>
      <c r="G64" s="25">
        <v>-4</v>
      </c>
      <c r="H64" s="25"/>
      <c r="I64" s="25">
        <v>-3</v>
      </c>
      <c r="J64" s="25"/>
      <c r="K64" s="25"/>
      <c r="L64" s="25">
        <v>-2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34">
        <f t="shared" si="1"/>
        <v>6</v>
      </c>
      <c r="AL64">
        <v>5</v>
      </c>
      <c r="AM64">
        <v>10</v>
      </c>
      <c r="AN64">
        <v>20</v>
      </c>
    </row>
    <row r="65" spans="1:41" hidden="1" x14ac:dyDescent="0.25">
      <c r="A65" s="11" t="s">
        <v>203</v>
      </c>
      <c r="B65" s="20"/>
      <c r="C65" s="20" t="s">
        <v>141</v>
      </c>
      <c r="D65" s="11"/>
      <c r="E65" s="11"/>
      <c r="F65" s="35">
        <f>'March 2026'!AL65</f>
        <v>7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34">
        <f t="shared" si="1"/>
        <v>7</v>
      </c>
      <c r="AO65" t="s">
        <v>208</v>
      </c>
    </row>
    <row r="66" spans="1:41" hidden="1" x14ac:dyDescent="0.25">
      <c r="A66" s="11" t="s">
        <v>203</v>
      </c>
      <c r="B66" s="20"/>
      <c r="C66" s="20" t="s">
        <v>206</v>
      </c>
      <c r="D66" s="11"/>
      <c r="E66" s="11"/>
      <c r="F66" s="35">
        <f>'March 2026'!AL66</f>
        <v>98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34">
        <f t="shared" si="1"/>
        <v>98</v>
      </c>
      <c r="AO66" t="s">
        <v>208</v>
      </c>
    </row>
    <row r="67" spans="1:41" hidden="1" x14ac:dyDescent="0.25">
      <c r="A67" s="11" t="s">
        <v>204</v>
      </c>
      <c r="B67" s="20" t="s">
        <v>143</v>
      </c>
      <c r="C67" s="20" t="s">
        <v>144</v>
      </c>
      <c r="D67" s="11"/>
      <c r="E67" s="11"/>
      <c r="F67" s="35">
        <f>'March 2026'!AL67</f>
        <v>1</v>
      </c>
      <c r="G67" s="25"/>
      <c r="H67" s="25"/>
      <c r="I67" s="25"/>
      <c r="J67" s="25"/>
      <c r="K67" s="25"/>
      <c r="L67" s="31"/>
      <c r="M67" s="25"/>
      <c r="N67" s="25"/>
      <c r="O67" s="25"/>
      <c r="P67" s="25"/>
      <c r="Q67" s="25"/>
      <c r="R67" s="25"/>
      <c r="S67" s="25"/>
      <c r="T67" s="25">
        <v>-1</v>
      </c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34">
        <f t="shared" si="1"/>
        <v>0</v>
      </c>
      <c r="AL67">
        <v>1</v>
      </c>
      <c r="AM67">
        <v>1</v>
      </c>
      <c r="AN67">
        <v>1</v>
      </c>
    </row>
    <row r="68" spans="1:41" hidden="1" x14ac:dyDescent="0.25">
      <c r="A68" s="11" t="s">
        <v>203</v>
      </c>
      <c r="B68" s="20" t="s">
        <v>145</v>
      </c>
      <c r="C68" s="20" t="s">
        <v>146</v>
      </c>
      <c r="D68" s="11"/>
      <c r="E68" s="11"/>
      <c r="F68" s="35">
        <f>'March 2026'!AL68</f>
        <v>0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34">
        <f t="shared" si="1"/>
        <v>0</v>
      </c>
      <c r="AL68">
        <v>1</v>
      </c>
      <c r="AM68">
        <v>1</v>
      </c>
      <c r="AN68">
        <v>1</v>
      </c>
    </row>
    <row r="69" spans="1:41" hidden="1" x14ac:dyDescent="0.25">
      <c r="A69" s="11" t="s">
        <v>203</v>
      </c>
      <c r="B69" s="20" t="s">
        <v>147</v>
      </c>
      <c r="C69" s="20" t="s">
        <v>148</v>
      </c>
      <c r="D69" s="11"/>
      <c r="E69" s="11"/>
      <c r="F69" s="35">
        <f>'March 2026'!AL69</f>
        <v>0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34">
        <f t="shared" si="1"/>
        <v>0</v>
      </c>
      <c r="AL69">
        <v>1</v>
      </c>
      <c r="AM69">
        <v>1</v>
      </c>
      <c r="AN69">
        <v>1</v>
      </c>
    </row>
    <row r="70" spans="1:41" hidden="1" x14ac:dyDescent="0.25">
      <c r="A70" s="11" t="s">
        <v>203</v>
      </c>
      <c r="B70" s="20" t="s">
        <v>149</v>
      </c>
      <c r="C70" s="20" t="s">
        <v>150</v>
      </c>
      <c r="D70" s="11"/>
      <c r="E70" s="11"/>
      <c r="F70" s="35">
        <f>'March 2026'!AL70</f>
        <v>5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34">
        <f t="shared" si="1"/>
        <v>5</v>
      </c>
      <c r="AL70">
        <v>1</v>
      </c>
      <c r="AM70">
        <v>2</v>
      </c>
      <c r="AN70">
        <v>5</v>
      </c>
    </row>
    <row r="71" spans="1:41" hidden="1" x14ac:dyDescent="0.25">
      <c r="A71" s="11" t="s">
        <v>203</v>
      </c>
      <c r="B71" s="20" t="s">
        <v>151</v>
      </c>
      <c r="C71" s="20" t="s">
        <v>152</v>
      </c>
      <c r="D71" s="11"/>
      <c r="E71" s="11"/>
      <c r="F71" s="35">
        <f>'March 2026'!AL71</f>
        <v>2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34">
        <f t="shared" si="1"/>
        <v>2</v>
      </c>
      <c r="AO71" t="s">
        <v>208</v>
      </c>
    </row>
    <row r="72" spans="1:41" hidden="1" x14ac:dyDescent="0.25">
      <c r="A72" s="11" t="s">
        <v>203</v>
      </c>
      <c r="B72" s="20" t="s">
        <v>153</v>
      </c>
      <c r="C72" s="20" t="s">
        <v>154</v>
      </c>
      <c r="D72" s="11"/>
      <c r="E72" s="11"/>
      <c r="F72" s="35">
        <f>'March 2026'!AL72</f>
        <v>0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31"/>
      <c r="AB72" s="25"/>
      <c r="AC72" s="25"/>
      <c r="AD72" s="25"/>
      <c r="AE72" s="25"/>
      <c r="AF72" s="25"/>
      <c r="AG72" s="25"/>
      <c r="AH72" s="25"/>
      <c r="AI72" s="25"/>
      <c r="AJ72" s="25"/>
      <c r="AK72" s="34">
        <f t="shared" si="1"/>
        <v>0</v>
      </c>
      <c r="AL72">
        <v>1</v>
      </c>
      <c r="AM72">
        <v>2</v>
      </c>
      <c r="AN72">
        <v>5</v>
      </c>
    </row>
    <row r="73" spans="1:41" hidden="1" x14ac:dyDescent="0.25">
      <c r="A73" s="11"/>
      <c r="B73" s="20" t="s">
        <v>155</v>
      </c>
      <c r="C73" s="20" t="s">
        <v>156</v>
      </c>
      <c r="D73" s="11"/>
      <c r="E73" s="11"/>
      <c r="F73" s="35">
        <f>'March 2026'!AL73</f>
        <v>3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>
        <v>-2</v>
      </c>
      <c r="U73" s="31"/>
      <c r="V73" s="25"/>
      <c r="W73" s="25"/>
      <c r="X73" s="25"/>
      <c r="Y73" s="25"/>
      <c r="Z73" s="25"/>
      <c r="AA73" s="31"/>
      <c r="AB73" s="25"/>
      <c r="AC73" s="25"/>
      <c r="AD73" s="25"/>
      <c r="AE73" s="25"/>
      <c r="AF73" s="25"/>
      <c r="AG73" s="25"/>
      <c r="AH73" s="25"/>
      <c r="AI73" s="25"/>
      <c r="AJ73" s="25"/>
      <c r="AK73" s="34">
        <f t="shared" si="1"/>
        <v>1</v>
      </c>
      <c r="AL73">
        <v>1</v>
      </c>
      <c r="AM73">
        <v>2</v>
      </c>
      <c r="AN73">
        <v>3</v>
      </c>
    </row>
    <row r="74" spans="1:41" hidden="1" x14ac:dyDescent="0.25">
      <c r="A74" s="11"/>
      <c r="B74" s="20" t="s">
        <v>157</v>
      </c>
      <c r="C74" s="20" t="s">
        <v>158</v>
      </c>
      <c r="D74" s="11"/>
      <c r="E74" s="11"/>
      <c r="F74" s="35">
        <f>'March 2026'!AL74</f>
        <v>0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34">
        <f t="shared" si="1"/>
        <v>0</v>
      </c>
      <c r="AO74" t="s">
        <v>208</v>
      </c>
    </row>
    <row r="75" spans="1:41" hidden="1" x14ac:dyDescent="0.25">
      <c r="A75" s="11"/>
      <c r="B75" s="20" t="s">
        <v>159</v>
      </c>
      <c r="C75" s="20" t="s">
        <v>160</v>
      </c>
      <c r="D75" s="11"/>
      <c r="E75" s="11"/>
      <c r="F75" s="35">
        <f>'March 2026'!AL75</f>
        <v>1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34">
        <f t="shared" ref="AK75:AK97" si="2">F75+SUM(G75:AJ75)</f>
        <v>1</v>
      </c>
      <c r="AO75" t="s">
        <v>208</v>
      </c>
    </row>
    <row r="76" spans="1:41" hidden="1" x14ac:dyDescent="0.25">
      <c r="A76" s="11"/>
      <c r="B76" s="20" t="s">
        <v>161</v>
      </c>
      <c r="C76" s="20" t="s">
        <v>162</v>
      </c>
      <c r="D76" s="11"/>
      <c r="E76" s="11"/>
      <c r="F76" s="35">
        <f>'March 2026'!AL76</f>
        <v>4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34">
        <f t="shared" si="2"/>
        <v>4</v>
      </c>
      <c r="AO76" t="s">
        <v>208</v>
      </c>
    </row>
    <row r="77" spans="1:41" hidden="1" x14ac:dyDescent="0.25">
      <c r="A77" s="11"/>
      <c r="B77" s="20" t="s">
        <v>163</v>
      </c>
      <c r="C77" s="20" t="s">
        <v>164</v>
      </c>
      <c r="D77" s="11"/>
      <c r="E77" s="11"/>
      <c r="F77" s="35">
        <f>'March 2026'!AL77</f>
        <v>0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34">
        <f t="shared" si="2"/>
        <v>0</v>
      </c>
      <c r="AL77">
        <v>1</v>
      </c>
      <c r="AM77">
        <v>1</v>
      </c>
      <c r="AN77">
        <v>1</v>
      </c>
    </row>
    <row r="78" spans="1:41" hidden="1" x14ac:dyDescent="0.25">
      <c r="A78" s="11" t="s">
        <v>32</v>
      </c>
      <c r="B78" s="20" t="s">
        <v>165</v>
      </c>
      <c r="C78" s="20" t="s">
        <v>166</v>
      </c>
      <c r="D78" s="11"/>
      <c r="E78" s="11"/>
      <c r="F78" s="35">
        <f>'March 2026'!AL78</f>
        <v>1</v>
      </c>
      <c r="G78" s="25"/>
      <c r="H78" s="25"/>
      <c r="I78" s="25"/>
      <c r="J78" s="25"/>
      <c r="K78" s="25"/>
      <c r="L78" s="25"/>
      <c r="M78" s="25"/>
      <c r="N78" s="25"/>
      <c r="O78" s="31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34">
        <f t="shared" si="2"/>
        <v>1</v>
      </c>
      <c r="AO78" t="s">
        <v>208</v>
      </c>
    </row>
    <row r="79" spans="1:41" hidden="1" x14ac:dyDescent="0.25">
      <c r="A79" s="11"/>
      <c r="B79" s="20" t="s">
        <v>167</v>
      </c>
      <c r="C79" s="20" t="s">
        <v>168</v>
      </c>
      <c r="D79" s="11"/>
      <c r="E79" s="11"/>
      <c r="F79" s="35">
        <f>'March 2026'!AL79</f>
        <v>0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34">
        <f t="shared" si="2"/>
        <v>0</v>
      </c>
      <c r="AO79" t="s">
        <v>208</v>
      </c>
    </row>
    <row r="80" spans="1:41" hidden="1" x14ac:dyDescent="0.25">
      <c r="A80" s="11"/>
      <c r="B80" s="20" t="s">
        <v>169</v>
      </c>
      <c r="C80" s="20" t="s">
        <v>170</v>
      </c>
      <c r="D80" s="11"/>
      <c r="E80" s="11"/>
      <c r="F80" s="35">
        <f>'March 2026'!AL80</f>
        <v>0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34">
        <f t="shared" si="2"/>
        <v>0</v>
      </c>
      <c r="AO80" t="s">
        <v>208</v>
      </c>
    </row>
    <row r="81" spans="1:41" hidden="1" x14ac:dyDescent="0.25">
      <c r="A81" s="11" t="s">
        <v>204</v>
      </c>
      <c r="B81" s="20" t="s">
        <v>171</v>
      </c>
      <c r="C81" s="20" t="s">
        <v>172</v>
      </c>
      <c r="D81" s="11"/>
      <c r="E81" s="11"/>
      <c r="F81" s="35">
        <f>'March 2026'!AL81</f>
        <v>0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34">
        <f t="shared" si="2"/>
        <v>0</v>
      </c>
      <c r="AO81" t="s">
        <v>208</v>
      </c>
    </row>
    <row r="82" spans="1:41" hidden="1" x14ac:dyDescent="0.25">
      <c r="A82" s="11" t="s">
        <v>32</v>
      </c>
      <c r="B82" s="20" t="s">
        <v>173</v>
      </c>
      <c r="C82" s="20" t="s">
        <v>174</v>
      </c>
      <c r="D82" s="11"/>
      <c r="E82" s="11"/>
      <c r="F82" s="35">
        <f>'March 2026'!AL82</f>
        <v>1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34">
        <f t="shared" si="2"/>
        <v>1</v>
      </c>
      <c r="AO82" t="s">
        <v>208</v>
      </c>
    </row>
    <row r="83" spans="1:41" hidden="1" x14ac:dyDescent="0.25">
      <c r="A83" s="11" t="s">
        <v>33</v>
      </c>
      <c r="B83" s="20" t="s">
        <v>175</v>
      </c>
      <c r="C83" s="20" t="s">
        <v>176</v>
      </c>
      <c r="D83" s="11"/>
      <c r="E83" s="11"/>
      <c r="F83" s="35">
        <f>'March 2026'!AL83</f>
        <v>686</v>
      </c>
      <c r="G83" s="25"/>
      <c r="H83" s="25"/>
      <c r="I83" s="25"/>
      <c r="J83" s="25"/>
      <c r="K83" s="25"/>
      <c r="L83" s="25">
        <v>-54</v>
      </c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34">
        <f t="shared" si="2"/>
        <v>632</v>
      </c>
      <c r="AO83" t="s">
        <v>208</v>
      </c>
    </row>
    <row r="84" spans="1:41" hidden="1" x14ac:dyDescent="0.25">
      <c r="A84" s="11" t="s">
        <v>33</v>
      </c>
      <c r="B84" s="20" t="s">
        <v>177</v>
      </c>
      <c r="C84" s="20" t="s">
        <v>178</v>
      </c>
      <c r="D84" s="11"/>
      <c r="E84" s="11"/>
      <c r="F84" s="35">
        <f>'March 2026'!AL84</f>
        <v>277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34">
        <f t="shared" si="2"/>
        <v>277</v>
      </c>
      <c r="AL84">
        <v>50</v>
      </c>
      <c r="AM84">
        <v>100</v>
      </c>
      <c r="AN84">
        <v>500</v>
      </c>
    </row>
    <row r="85" spans="1:41" hidden="1" x14ac:dyDescent="0.25">
      <c r="A85" s="11"/>
      <c r="B85" s="20" t="s">
        <v>179</v>
      </c>
      <c r="C85" s="20" t="s">
        <v>180</v>
      </c>
      <c r="D85" s="11"/>
      <c r="E85" s="11"/>
      <c r="F85" s="35">
        <f>'March 2026'!AL85</f>
        <v>0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34">
        <f t="shared" si="2"/>
        <v>0</v>
      </c>
    </row>
    <row r="86" spans="1:41" hidden="1" x14ac:dyDescent="0.25">
      <c r="A86" s="11"/>
      <c r="B86" s="20" t="s">
        <v>181</v>
      </c>
      <c r="C86" s="20" t="s">
        <v>182</v>
      </c>
      <c r="D86" s="11"/>
      <c r="E86" s="11"/>
      <c r="F86" s="35">
        <f>'March 2026'!AL86</f>
        <v>0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34">
        <f t="shared" si="2"/>
        <v>0</v>
      </c>
    </row>
    <row r="87" spans="1:41" hidden="1" x14ac:dyDescent="0.25">
      <c r="A87" s="11" t="s">
        <v>204</v>
      </c>
      <c r="B87" s="20" t="s">
        <v>183</v>
      </c>
      <c r="C87" s="20" t="s">
        <v>184</v>
      </c>
      <c r="D87" s="11"/>
      <c r="E87" s="11"/>
      <c r="F87" s="35">
        <f>'March 2026'!AL87</f>
        <v>0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34">
        <f t="shared" si="2"/>
        <v>0</v>
      </c>
    </row>
    <row r="88" spans="1:41" hidden="1" x14ac:dyDescent="0.25">
      <c r="A88" s="11" t="s">
        <v>204</v>
      </c>
      <c r="B88" s="20" t="s">
        <v>185</v>
      </c>
      <c r="C88" s="20" t="s">
        <v>186</v>
      </c>
      <c r="D88" s="11"/>
      <c r="E88" s="11"/>
      <c r="F88" s="35">
        <f>'March 2026'!AL88</f>
        <v>17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31"/>
      <c r="V88" s="25"/>
      <c r="W88" s="25"/>
      <c r="X88" s="25"/>
      <c r="Y88" s="25"/>
      <c r="Z88" s="25"/>
      <c r="AA88" s="31"/>
      <c r="AB88" s="25"/>
      <c r="AC88" s="25"/>
      <c r="AD88" s="25"/>
      <c r="AE88" s="25"/>
      <c r="AF88" s="25"/>
      <c r="AG88" s="25"/>
      <c r="AH88" s="25"/>
      <c r="AI88" s="25"/>
      <c r="AJ88" s="25"/>
      <c r="AK88" s="34">
        <f t="shared" si="2"/>
        <v>17</v>
      </c>
    </row>
    <row r="89" spans="1:41" hidden="1" x14ac:dyDescent="0.25">
      <c r="A89" s="11"/>
      <c r="B89" s="20" t="s">
        <v>187</v>
      </c>
      <c r="C89" s="20" t="s">
        <v>188</v>
      </c>
      <c r="D89" s="11"/>
      <c r="E89" s="11"/>
      <c r="F89" s="35">
        <f>'March 2026'!AL89</f>
        <v>0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34">
        <f t="shared" si="2"/>
        <v>0</v>
      </c>
    </row>
    <row r="90" spans="1:41" hidden="1" x14ac:dyDescent="0.25">
      <c r="A90" s="11"/>
      <c r="B90" s="20" t="s">
        <v>189</v>
      </c>
      <c r="C90" s="20" t="s">
        <v>190</v>
      </c>
      <c r="D90" s="11"/>
      <c r="E90" s="11"/>
      <c r="F90" s="35">
        <f>'March 2026'!AL90</f>
        <v>0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34">
        <f t="shared" si="2"/>
        <v>0</v>
      </c>
    </row>
    <row r="91" spans="1:41" hidden="1" x14ac:dyDescent="0.25">
      <c r="A91" s="11" t="s">
        <v>204</v>
      </c>
      <c r="B91" s="20" t="s">
        <v>191</v>
      </c>
      <c r="C91" s="20" t="s">
        <v>192</v>
      </c>
      <c r="D91" s="11"/>
      <c r="E91" s="11"/>
      <c r="F91" s="35">
        <f>'March 2026'!AL91</f>
        <v>0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34">
        <f t="shared" si="2"/>
        <v>0</v>
      </c>
    </row>
    <row r="92" spans="1:41" hidden="1" x14ac:dyDescent="0.25">
      <c r="A92" s="11"/>
      <c r="B92" s="20" t="s">
        <v>193</v>
      </c>
      <c r="C92" s="20" t="s">
        <v>194</v>
      </c>
      <c r="D92" s="11"/>
      <c r="E92" s="11"/>
      <c r="F92" s="35">
        <f>'March 2026'!AL92</f>
        <v>0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34">
        <f t="shared" si="2"/>
        <v>0</v>
      </c>
    </row>
    <row r="93" spans="1:41" hidden="1" x14ac:dyDescent="0.25">
      <c r="A93" s="11"/>
      <c r="B93" s="20" t="s">
        <v>195</v>
      </c>
      <c r="C93" s="20" t="s">
        <v>196</v>
      </c>
      <c r="D93" s="11"/>
      <c r="E93" s="11"/>
      <c r="F93" s="35">
        <f>'March 2026'!AL93</f>
        <v>0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34">
        <f t="shared" si="2"/>
        <v>0</v>
      </c>
    </row>
    <row r="94" spans="1:41" hidden="1" x14ac:dyDescent="0.25">
      <c r="A94" s="1"/>
      <c r="B94" s="20" t="s">
        <v>197</v>
      </c>
      <c r="C94" s="20" t="s">
        <v>198</v>
      </c>
      <c r="D94" s="11"/>
      <c r="E94" s="11"/>
      <c r="F94" s="35">
        <f>'March 2026'!AL94</f>
        <v>0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34">
        <f t="shared" si="2"/>
        <v>0</v>
      </c>
    </row>
    <row r="95" spans="1:41" hidden="1" x14ac:dyDescent="0.25">
      <c r="A95" s="11" t="s">
        <v>31</v>
      </c>
      <c r="B95" s="20" t="s">
        <v>199</v>
      </c>
      <c r="C95" s="20" t="s">
        <v>200</v>
      </c>
      <c r="D95" s="11"/>
      <c r="E95" s="11"/>
      <c r="F95" s="35">
        <f>'March 2026'!AL95</f>
        <v>37</v>
      </c>
      <c r="G95" s="25"/>
      <c r="H95" s="25"/>
      <c r="I95" s="25">
        <v>-50</v>
      </c>
      <c r="J95" s="25"/>
      <c r="K95" s="25"/>
      <c r="L95" s="25"/>
      <c r="M95" s="25">
        <v>-4</v>
      </c>
      <c r="N95" s="25"/>
      <c r="O95" s="25"/>
      <c r="P95" s="25"/>
      <c r="Q95" s="25"/>
      <c r="R95" s="25"/>
      <c r="S95" s="25">
        <v>-24</v>
      </c>
      <c r="T95" s="25"/>
      <c r="U95" s="25">
        <v>-60</v>
      </c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34">
        <f t="shared" si="2"/>
        <v>-101</v>
      </c>
    </row>
    <row r="96" spans="1:41" hidden="1" x14ac:dyDescent="0.25">
      <c r="A96" s="11" t="s">
        <v>31</v>
      </c>
      <c r="B96" s="20" t="s">
        <v>201</v>
      </c>
      <c r="C96" s="20" t="s">
        <v>202</v>
      </c>
      <c r="D96" s="11"/>
      <c r="E96" s="11"/>
      <c r="F96" s="35">
        <f>'March 2026'!AL96</f>
        <v>1585</v>
      </c>
      <c r="G96" s="25"/>
      <c r="H96" s="25"/>
      <c r="I96" s="25"/>
      <c r="J96" s="25"/>
      <c r="K96" s="25"/>
      <c r="L96" s="25"/>
      <c r="M96" s="25"/>
      <c r="N96" s="25">
        <v>-80</v>
      </c>
      <c r="O96" s="25"/>
      <c r="P96" s="25"/>
      <c r="Q96" s="25"/>
      <c r="R96" s="25"/>
      <c r="S96" s="25">
        <v>-560</v>
      </c>
      <c r="T96" s="25"/>
      <c r="U96" s="25"/>
      <c r="V96" s="25"/>
      <c r="W96" s="31">
        <v>500</v>
      </c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34">
        <f t="shared" si="2"/>
        <v>1445</v>
      </c>
    </row>
    <row r="97" spans="1:40" hidden="1" x14ac:dyDescent="0.25">
      <c r="A97" s="11"/>
      <c r="B97" s="20"/>
      <c r="C97" s="20" t="s">
        <v>103</v>
      </c>
      <c r="D97" s="11"/>
      <c r="E97" s="11"/>
      <c r="F97" s="35">
        <f>'March 2026'!AL97</f>
        <v>200</v>
      </c>
      <c r="G97" s="25"/>
      <c r="H97" s="25"/>
      <c r="I97" s="25"/>
      <c r="J97" s="25"/>
      <c r="K97" s="25"/>
      <c r="L97" s="31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34">
        <f t="shared" si="2"/>
        <v>200</v>
      </c>
    </row>
    <row r="98" spans="1:40" x14ac:dyDescent="0.25">
      <c r="A98" s="11"/>
      <c r="B98" s="20"/>
      <c r="C98" s="2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34"/>
    </row>
    <row r="99" spans="1:40" x14ac:dyDescent="0.25">
      <c r="A99" s="11"/>
      <c r="B99" s="20"/>
      <c r="C99" s="2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26"/>
    </row>
    <row r="100" spans="1:40" x14ac:dyDescent="0.25">
      <c r="A100" s="11"/>
      <c r="B100" s="20"/>
      <c r="C100" s="2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26"/>
    </row>
    <row r="101" spans="1:40" x14ac:dyDescent="0.25">
      <c r="A101" s="11"/>
      <c r="B101" s="20"/>
      <c r="C101" s="2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26"/>
    </row>
    <row r="102" spans="1:40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26"/>
    </row>
    <row r="103" spans="1:40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26"/>
    </row>
    <row r="104" spans="1:40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26"/>
    </row>
    <row r="105" spans="1:40" ht="15.75" thickBot="1" x14ac:dyDescent="0.3">
      <c r="A105" s="1"/>
      <c r="B105" s="2"/>
      <c r="C105" s="2"/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1"/>
      <c r="AL105" s="1"/>
      <c r="AM105" s="1"/>
      <c r="AN105" s="1"/>
    </row>
    <row r="106" spans="1:40" ht="32.25" thickBot="1" x14ac:dyDescent="0.3">
      <c r="A106" s="1"/>
      <c r="B106" s="6" t="s">
        <v>21</v>
      </c>
      <c r="C106" s="18"/>
      <c r="D106" s="19"/>
      <c r="E106" s="9" t="s">
        <v>22</v>
      </c>
      <c r="F106" s="22" t="s">
        <v>23</v>
      </c>
      <c r="G106" s="27" t="s">
        <v>24</v>
      </c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6.5" thickBot="1" x14ac:dyDescent="0.3">
      <c r="A107" s="1"/>
      <c r="B107" s="7" t="s">
        <v>25</v>
      </c>
      <c r="C107" s="19"/>
      <c r="D107" s="19"/>
      <c r="E107" s="8"/>
      <c r="F107" s="21"/>
      <c r="G107" s="54"/>
      <c r="H107" s="5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6.5" thickBot="1" x14ac:dyDescent="0.3">
      <c r="A108" s="1"/>
      <c r="B108" s="7" t="s">
        <v>26</v>
      </c>
      <c r="C108" s="19"/>
      <c r="D108" s="19"/>
      <c r="E108" s="9"/>
      <c r="F108" s="22"/>
      <c r="G108" s="56"/>
      <c r="H108" s="5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6.5" thickBot="1" x14ac:dyDescent="0.3">
      <c r="A109" s="1"/>
      <c r="B109" s="7" t="s">
        <v>27</v>
      </c>
      <c r="C109" s="19"/>
      <c r="D109" s="19"/>
      <c r="E109" s="10"/>
      <c r="F109" s="23"/>
      <c r="G109" s="58"/>
      <c r="H109" s="5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.75" x14ac:dyDescent="0.25">
      <c r="A110" s="1"/>
      <c r="B110" s="60" t="s">
        <v>28</v>
      </c>
      <c r="C110" s="16"/>
      <c r="D110" s="16"/>
      <c r="E110" s="63"/>
      <c r="F110" s="66"/>
      <c r="G110" s="69"/>
      <c r="H110" s="7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.75" x14ac:dyDescent="0.25">
      <c r="A111" s="1"/>
      <c r="B111" s="61"/>
      <c r="C111" s="17"/>
      <c r="D111" s="17"/>
      <c r="E111" s="64"/>
      <c r="F111" s="67"/>
      <c r="G111" s="69"/>
      <c r="H111" s="7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6.5" thickBot="1" x14ac:dyDescent="0.3">
      <c r="A112" s="1"/>
      <c r="B112" s="62"/>
      <c r="C112" s="7"/>
      <c r="D112" s="7"/>
      <c r="E112" s="65"/>
      <c r="F112" s="68"/>
      <c r="G112" s="71"/>
      <c r="H112" s="7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25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</sheetData>
  <autoFilter ref="A10:AO97" xr:uid="{F2950B24-E5C7-441B-B01F-7B1D85AD340F}">
    <filterColumn colId="2">
      <filters>
        <filter val="Screw - CSK - M2 x 10mm"/>
        <filter val="Screw - CSK - M2 x 15mm"/>
        <filter val="Screw - CSK - M2 x 6mm"/>
        <filter val="Screw - CSK - M2.5 x 4mm"/>
        <filter val="Screw - CSK - M2.5 x 6mm"/>
        <filter val="Screw - CSK - M2.5 x 8mm"/>
        <filter val="Screw - CSK - M3 x 10mm"/>
        <filter val="Screw - CSK - M3 x 12mm"/>
        <filter val="Screw - CSK - M3 x 4mm"/>
        <filter val="Screw - CSK - M3 x 6mm"/>
        <filter val="Screw - CSK - M3 x 8mm"/>
        <filter val="Screw - CSK - M4 x 6mm"/>
        <filter val="Screw - CSK - Self Tap - M2 x 4mm"/>
        <filter val="Screw - CSK - Self Tap - M2 x 6mm"/>
        <filter val="Screw - CSK - Self Tap - M2.5 x 14mm"/>
        <filter val="Screw - CSK - Self Tap - M3 x 18mm"/>
        <filter val="Screw - CSK - Self Tap - M3 x 25mm (POP)"/>
        <filter val="Screw - CSK - Self Tap - M3 x 6mm"/>
        <filter val="Screw - CSK - Self Tap - M3 x 9mm"/>
      </filters>
    </filterColumn>
  </autoFilter>
  <mergeCells count="24">
    <mergeCell ref="G107:H107"/>
    <mergeCell ref="G108:H108"/>
    <mergeCell ref="G109:H109"/>
    <mergeCell ref="B110:B112"/>
    <mergeCell ref="E110:E112"/>
    <mergeCell ref="F110:F112"/>
    <mergeCell ref="G110:H11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K11:AK104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Jan 2026</vt:lpstr>
      <vt:lpstr>Feb 2026</vt:lpstr>
      <vt:lpstr>March 2026</vt:lpstr>
      <vt:lpstr>April 2026</vt:lpstr>
      <vt:lpstr>'Jan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2026-04-18T06:58:21Z</dcterms:modified>
  <cp:category/>
  <cp:contentStatus/>
</cp:coreProperties>
</file>