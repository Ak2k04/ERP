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comments4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822"/>
  <workbookPr filterPrivacy="1" codeName="ThisWorkbook" defaultThemeVersion="124226"/>
  <xr:revisionPtr revIDLastSave="0" documentId="13_ncr:1_{EA81A157-1942-4A3D-8D34-9A50740A2CF3}" xr6:coauthVersionLast="47" xr6:coauthVersionMax="47" xr10:uidLastSave="{00000000-0000-0000-0000-000000000000}"/>
  <bookViews>
    <workbookView xWindow="30" yWindow="30" windowWidth="23970" windowHeight="12870" activeTab="3" xr2:uid="{00000000-000D-0000-FFFF-FFFF00000000}"/>
  </bookViews>
  <sheets>
    <sheet name="Jan 2026" sheetId="1" r:id="rId1"/>
    <sheet name="Feb 2026" sheetId="5" r:id="rId2"/>
    <sheet name="March 2026" sheetId="7" r:id="rId3"/>
    <sheet name="April 2026" sheetId="8" r:id="rId4"/>
  </sheets>
  <definedNames>
    <definedName name="_Hlk122640495" localSheetId="0">'Jan 2026'!$B$56</definedName>
    <definedName name="_Hlk122640495" localSheetId="2">'March 2026'!$B$56</definedName>
    <definedName name="_Hlk126512593" localSheetId="0">'Jan 2026'!#REF!</definedName>
    <definedName name="_Hlk126512593" localSheetId="2">'March 2026'!#REF!</definedName>
  </definedName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18" i="8" l="1"/>
  <c r="F25" i="8" l="1"/>
  <c r="F20" i="8"/>
  <c r="W18" i="7"/>
  <c r="F12" i="8" l="1"/>
  <c r="F13" i="8"/>
  <c r="F14" i="8"/>
  <c r="F15" i="8"/>
  <c r="F16" i="8"/>
  <c r="F17" i="8"/>
  <c r="F19" i="8"/>
  <c r="AK19" i="8" s="1"/>
  <c r="F21" i="8"/>
  <c r="F22" i="8"/>
  <c r="F23" i="8"/>
  <c r="AK23" i="8" s="1"/>
  <c r="F24" i="8"/>
  <c r="F26" i="8"/>
  <c r="F27" i="8"/>
  <c r="AK27" i="8" s="1"/>
  <c r="F28" i="8"/>
  <c r="F29" i="8"/>
  <c r="F30" i="8"/>
  <c r="F31" i="8"/>
  <c r="AK31" i="8" s="1"/>
  <c r="F32" i="8"/>
  <c r="F33" i="8"/>
  <c r="F34" i="8"/>
  <c r="F35" i="8"/>
  <c r="AK35" i="8" s="1"/>
  <c r="F36" i="8"/>
  <c r="F37" i="8"/>
  <c r="F38" i="8"/>
  <c r="F39" i="8"/>
  <c r="AK39" i="8" s="1"/>
  <c r="F40" i="8"/>
  <c r="F41" i="8"/>
  <c r="F11" i="8"/>
  <c r="AK53" i="8"/>
  <c r="AK52" i="8"/>
  <c r="AK51" i="8"/>
  <c r="AK50" i="8"/>
  <c r="AK49" i="8"/>
  <c r="AK48" i="8"/>
  <c r="AK47" i="8"/>
  <c r="AK46" i="8"/>
  <c r="AK45" i="8"/>
  <c r="AK44" i="8"/>
  <c r="AK43" i="8"/>
  <c r="AK42" i="8"/>
  <c r="AK41" i="8"/>
  <c r="AK40" i="8"/>
  <c r="AK38" i="8"/>
  <c r="AK37" i="8"/>
  <c r="AK36" i="8"/>
  <c r="AK34" i="8"/>
  <c r="AK33" i="8"/>
  <c r="AK32" i="8"/>
  <c r="AK30" i="8"/>
  <c r="AK29" i="8"/>
  <c r="AK28" i="8"/>
  <c r="AK26" i="8"/>
  <c r="AK25" i="8"/>
  <c r="AK24" i="8"/>
  <c r="AK22" i="8"/>
  <c r="AK21" i="8"/>
  <c r="AK20" i="8"/>
  <c r="AK17" i="8"/>
  <c r="AK16" i="8"/>
  <c r="AK14" i="8"/>
  <c r="AK13" i="8"/>
  <c r="AK12" i="8"/>
  <c r="AK11" i="8"/>
  <c r="AK15" i="8" l="1"/>
  <c r="AL35" i="7" l="1"/>
  <c r="Q37" i="7"/>
  <c r="Q35" i="7"/>
  <c r="Q22" i="7"/>
  <c r="Q14" i="7"/>
  <c r="W19" i="7" l="1"/>
  <c r="M12" i="7" l="1"/>
  <c r="M18" i="7"/>
  <c r="M19" i="7"/>
  <c r="F20" i="1" l="1"/>
  <c r="H19" i="7"/>
  <c r="H18" i="7"/>
  <c r="K15" i="7" l="1"/>
  <c r="K20" i="7"/>
  <c r="F18" i="1" l="1"/>
  <c r="F19" i="1"/>
  <c r="M20" i="5"/>
  <c r="H20" i="5"/>
  <c r="V15" i="1"/>
  <c r="T19" i="1"/>
  <c r="T18" i="1"/>
  <c r="H20" i="7"/>
  <c r="AL53" i="7" l="1"/>
  <c r="AL52" i="7"/>
  <c r="AL51" i="7"/>
  <c r="AL50" i="7"/>
  <c r="AL49" i="7"/>
  <c r="AL48" i="7"/>
  <c r="AL47" i="7"/>
  <c r="AL46" i="7"/>
  <c r="AL45" i="7"/>
  <c r="AL44" i="7"/>
  <c r="AL43" i="7"/>
  <c r="AL42" i="7"/>
  <c r="F11" i="5"/>
  <c r="AA15" i="5" l="1"/>
  <c r="Z18" i="5"/>
  <c r="Z20" i="5" l="1"/>
  <c r="Z15" i="5"/>
  <c r="J12" i="5"/>
  <c r="J19" i="5"/>
  <c r="J18" i="5"/>
  <c r="J20" i="5"/>
  <c r="J15" i="5"/>
  <c r="H19" i="5"/>
  <c r="H18" i="5"/>
  <c r="AI53" i="5"/>
  <c r="AI52" i="5"/>
  <c r="AI51" i="5"/>
  <c r="AI50" i="5"/>
  <c r="AI49" i="5"/>
  <c r="AI48" i="5"/>
  <c r="AI47" i="5"/>
  <c r="AI46" i="5"/>
  <c r="AI45" i="5"/>
  <c r="AI44" i="5"/>
  <c r="AI43" i="5"/>
  <c r="AI42" i="5"/>
  <c r="AI41" i="5"/>
  <c r="F41" i="7" s="1"/>
  <c r="AL41" i="7" s="1"/>
  <c r="AI40" i="5"/>
  <c r="F40" i="7" s="1"/>
  <c r="AL40" i="7" s="1"/>
  <c r="AI11" i="5"/>
  <c r="F11" i="7" s="1"/>
  <c r="AL11" i="7" s="1"/>
  <c r="AJ12" i="1"/>
  <c r="AJ19" i="1"/>
  <c r="AJ18" i="1"/>
  <c r="AI19" i="1"/>
  <c r="AI18" i="1"/>
  <c r="AI12" i="1"/>
  <c r="W37" i="1"/>
  <c r="W35" i="1"/>
  <c r="W22" i="1"/>
  <c r="W14" i="1"/>
  <c r="L12" i="1"/>
  <c r="AL12" i="1" l="1"/>
  <c r="F12" i="5" s="1"/>
  <c r="AI12" i="5" s="1"/>
  <c r="F12" i="7" s="1"/>
  <c r="AL12" i="7" s="1"/>
  <c r="AL13" i="1"/>
  <c r="F13" i="5" s="1"/>
  <c r="AI13" i="5" s="1"/>
  <c r="F13" i="7" s="1"/>
  <c r="AL13" i="7" s="1"/>
  <c r="AL14" i="1"/>
  <c r="F14" i="5" s="1"/>
  <c r="AI14" i="5" s="1"/>
  <c r="F14" i="7" s="1"/>
  <c r="AL14" i="7" s="1"/>
  <c r="AL15" i="1"/>
  <c r="F15" i="5" s="1"/>
  <c r="AI15" i="5" s="1"/>
  <c r="F15" i="7" s="1"/>
  <c r="AL15" i="7" s="1"/>
  <c r="AL16" i="1"/>
  <c r="F16" i="5" s="1"/>
  <c r="AI16" i="5" s="1"/>
  <c r="F16" i="7" s="1"/>
  <c r="AL16" i="7" s="1"/>
  <c r="AL17" i="1"/>
  <c r="F17" i="5" s="1"/>
  <c r="AI17" i="5" s="1"/>
  <c r="F17" i="7" s="1"/>
  <c r="AL17" i="7" s="1"/>
  <c r="AL18" i="1"/>
  <c r="F18" i="5" s="1"/>
  <c r="AI18" i="5" s="1"/>
  <c r="F18" i="7" s="1"/>
  <c r="AL18" i="7" s="1"/>
  <c r="F18" i="8" s="1"/>
  <c r="AK18" i="8" s="1"/>
  <c r="AL19" i="1"/>
  <c r="F19" i="5" s="1"/>
  <c r="AI19" i="5" s="1"/>
  <c r="F19" i="7" s="1"/>
  <c r="AL19" i="7" s="1"/>
  <c r="AL20" i="1"/>
  <c r="F20" i="5" s="1"/>
  <c r="AI20" i="5" s="1"/>
  <c r="F20" i="7" s="1"/>
  <c r="AL20" i="7" s="1"/>
  <c r="AL21" i="1"/>
  <c r="F21" i="5" s="1"/>
  <c r="AI21" i="5" s="1"/>
  <c r="F21" i="7" s="1"/>
  <c r="AL21" i="7" s="1"/>
  <c r="AL22" i="1"/>
  <c r="F22" i="5" s="1"/>
  <c r="AI22" i="5" s="1"/>
  <c r="F22" i="7" s="1"/>
  <c r="AL22" i="7" s="1"/>
  <c r="AL23" i="1"/>
  <c r="F23" i="5" s="1"/>
  <c r="AI23" i="5" s="1"/>
  <c r="F23" i="7" s="1"/>
  <c r="AL23" i="7" s="1"/>
  <c r="AL24" i="1"/>
  <c r="F24" i="5" s="1"/>
  <c r="AI24" i="5" s="1"/>
  <c r="F24" i="7" s="1"/>
  <c r="AL24" i="7" s="1"/>
  <c r="AL25" i="1"/>
  <c r="F25" i="5" s="1"/>
  <c r="AI25" i="5" s="1"/>
  <c r="F25" i="7" s="1"/>
  <c r="AL25" i="7" s="1"/>
  <c r="AL26" i="1"/>
  <c r="F26" i="5" s="1"/>
  <c r="AI26" i="5" s="1"/>
  <c r="F26" i="7" s="1"/>
  <c r="AL26" i="7" s="1"/>
  <c r="AL27" i="1"/>
  <c r="F27" i="5" s="1"/>
  <c r="AI27" i="5" s="1"/>
  <c r="F27" i="7" s="1"/>
  <c r="AL27" i="7" s="1"/>
  <c r="AL28" i="1"/>
  <c r="F28" i="5" s="1"/>
  <c r="AI28" i="5" s="1"/>
  <c r="F28" i="7" s="1"/>
  <c r="AL28" i="7" s="1"/>
  <c r="AL29" i="1"/>
  <c r="F29" i="5" s="1"/>
  <c r="AI29" i="5" s="1"/>
  <c r="F29" i="7" s="1"/>
  <c r="AL29" i="7" s="1"/>
  <c r="AL30" i="1"/>
  <c r="F30" i="5" s="1"/>
  <c r="AI30" i="5" s="1"/>
  <c r="F30" i="7" s="1"/>
  <c r="AL30" i="7" s="1"/>
  <c r="AL31" i="1"/>
  <c r="F31" i="5" s="1"/>
  <c r="AI31" i="5" s="1"/>
  <c r="F31" i="7" s="1"/>
  <c r="AL31" i="7" s="1"/>
  <c r="AL32" i="1"/>
  <c r="F32" i="5" s="1"/>
  <c r="AI32" i="5" s="1"/>
  <c r="F32" i="7" s="1"/>
  <c r="AL32" i="7" s="1"/>
  <c r="AL33" i="1"/>
  <c r="F33" i="5" s="1"/>
  <c r="AI33" i="5" s="1"/>
  <c r="F33" i="7" s="1"/>
  <c r="AL33" i="7" s="1"/>
  <c r="AL34" i="1"/>
  <c r="F34" i="5" s="1"/>
  <c r="AI34" i="5" s="1"/>
  <c r="F34" i="7" s="1"/>
  <c r="AL34" i="7" s="1"/>
  <c r="AL35" i="1"/>
  <c r="F35" i="5" s="1"/>
  <c r="AI35" i="5" s="1"/>
  <c r="F35" i="7" s="1"/>
  <c r="AL36" i="1"/>
  <c r="F36" i="5" s="1"/>
  <c r="AI36" i="5" s="1"/>
  <c r="F36" i="7" s="1"/>
  <c r="AL36" i="7" s="1"/>
  <c r="AL37" i="1"/>
  <c r="F37" i="5" s="1"/>
  <c r="AI37" i="5" s="1"/>
  <c r="F37" i="7" s="1"/>
  <c r="AL37" i="7" s="1"/>
  <c r="AL38" i="1"/>
  <c r="F38" i="5" s="1"/>
  <c r="AI38" i="5" s="1"/>
  <c r="F38" i="7" s="1"/>
  <c r="AL38" i="7" s="1"/>
  <c r="AL39" i="1"/>
  <c r="F39" i="5" s="1"/>
  <c r="AI39" i="5" s="1"/>
  <c r="F39" i="7" s="1"/>
  <c r="AL39" i="7" s="1"/>
  <c r="AL40" i="1"/>
  <c r="AL41" i="1"/>
  <c r="AL42" i="1"/>
  <c r="AL43" i="1"/>
  <c r="AL44" i="1"/>
  <c r="AL45" i="1"/>
  <c r="AL46" i="1"/>
  <c r="AL47" i="1"/>
  <c r="AL11" i="1"/>
  <c r="AL48" i="1"/>
  <c r="AL49" i="1"/>
  <c r="AL50" i="1"/>
  <c r="AL51" i="1"/>
  <c r="AL53" i="1" l="1"/>
  <c r="AL52" i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FFFE1B98-EF52-4F96-A72E-18ED636A084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AK14" authorId="0" shapeId="0" xr:uid="{8FB5224F-077D-47D2-A1AB-CBA2C7533EF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U15" authorId="0" shapeId="0" xr:uid="{806FE3DD-2118-4EE4-9375-93303DC0CA0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Inv-AE/CR/25-26/4060 Dt.16-Jan-26</t>
        </r>
      </text>
    </comment>
    <comment ref="S18" authorId="0" shapeId="0" xr:uid="{210B59EC-412F-4B65-90BB-29AEE27BB76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Inv-1582 Dt.13-Jan-26</t>
        </r>
      </text>
    </comment>
    <comment ref="AG18" authorId="0" shapeId="0" xr:uid="{80E52AE1-BF33-4555-8F1F-9968CDB108EB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Inv-1652  Dt.28-Jan-26</t>
        </r>
      </text>
    </comment>
    <comment ref="S19" authorId="0" shapeId="0" xr:uid="{4614B32C-62FE-406C-8E60-7BAE96E89B4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Inv-1582 Dt.13-Jan-26</t>
        </r>
      </text>
    </comment>
    <comment ref="AG19" authorId="0" shapeId="0" xr:uid="{4905710F-3731-4446-A8CF-6D8CC699DD0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Inv-1652  Dt.28-Jan-26</t>
        </r>
      </text>
    </comment>
    <comment ref="Z22" authorId="0" shapeId="0" xr:uid="{D305EA95-30AA-41FB-BC94-A1CD0BCAD1B8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22" authorId="0" shapeId="0" xr:uid="{BEF433CD-76F5-4990-BFB0-F558CB0BE31A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Inv-AE/CR/25-26/4287 Dt-31-jan-26</t>
        </r>
      </text>
    </comment>
    <comment ref="Z35" authorId="0" shapeId="0" xr:uid="{95C7F4BD-BE55-427B-874C-2DBEE1F056FE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Inv-2327  Dt-21-Jan-26</t>
        </r>
      </text>
    </comment>
    <comment ref="AK35" authorId="0" shapeId="0" xr:uid="{89C32096-9EDD-49B2-87A3-5676752F16FF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Sri Lakshmi Electronics       Inv-2412  Dt-31-jan-26
</t>
        </r>
      </text>
    </comment>
    <comment ref="AK37" authorId="0" shapeId="0" xr:uid="{BBE396AD-DAA1-4AE9-95BA-89F9853A3DA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Inv-AE/CR/25-26/4287 Dt-31-jan-26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CE342355-1B5C-4705-898B-497DB1809CA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X17" authorId="0" shapeId="0" xr:uid="{727B02B9-E117-432B-8B7B-731FE1A9859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Ever Green Industrial Stores                             Inv -5112 dt.19-Feb-26</t>
        </r>
      </text>
    </comment>
    <comment ref="Y18" authorId="0" shapeId="0" xr:uid="{03E00893-D3EE-4B88-8F3F-D24122D838D1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   Inv -1801 Dt.20-Feb-26</t>
        </r>
      </text>
    </comment>
    <comment ref="Y19" authorId="0" shapeId="0" xr:uid="{DAD88F10-DECB-4B07-9608-B3E35D3C534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   Inv -1801 Dt.20-Feb-26</t>
        </r>
      </text>
    </comment>
    <comment ref="H37" authorId="0" shapeId="0" xr:uid="{971160F5-10C1-467B-B47F-F4A7E3FB85A9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               Inv-AE/CR/25-26/4293 Dt-02-Feb-26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022CDB6A-2BEC-4287-85CB-6DCC767A2717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H18" authorId="0" shapeId="0" xr:uid="{544D310E-D55C-4C95-ACFA-03D756CC65A4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   Inv -1872  Dt.3-Mar-26</t>
        </r>
      </text>
    </comment>
    <comment ref="V18" authorId="0" shapeId="0" xr:uid="{87C5D63B-9182-40DF-B185-41C13CA9A9E5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Resources            Inv-2526-1942  Dt-16-Mar-26</t>
        </r>
      </text>
    </comment>
    <comment ref="H19" authorId="0" shapeId="0" xr:uid="{F35E2765-7C11-4BBA-94A1-9F187B7244A3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               Inv -1801 Dt.20-Feb-26</t>
        </r>
      </text>
    </comment>
    <comment ref="V19" authorId="0" shapeId="0" xr:uid="{41917F6E-8D46-4C74-B21A-21D262137CCD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Maxima Resources            Inv-2526-1942  Dt-16-Mar-26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Author</author>
  </authors>
  <commentList>
    <comment ref="A10" authorId="0" shapeId="0" xr:uid="{E86AB75C-1E77-43EC-8418-11D315648116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Give Rack Numbers</t>
        </r>
      </text>
    </comment>
    <comment ref="P33" authorId="0" shapeId="0" xr:uid="{D93EA09B-29FD-4730-B558-437B2AB52D02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Inv-AE/CR/26-27-155
 Dt.10-04-2026
</t>
        </r>
      </text>
    </comment>
    <comment ref="P34" authorId="0" shapeId="0" xr:uid="{0DF11D83-52CA-4C0C-AC49-B36D9E663DFC}">
      <text>
        <r>
          <rPr>
            <b/>
            <sz val="9"/>
            <color indexed="81"/>
            <rFont val="Tahoma"/>
            <family val="2"/>
          </rPr>
          <t>Author:</t>
        </r>
        <r>
          <rPr>
            <sz val="9"/>
            <color indexed="81"/>
            <rFont val="Tahoma"/>
            <family val="2"/>
          </rPr>
          <t xml:space="preserve">
Aarthi Electronics
Inv-AE/CR/26-27-155
 Dt.10-04-2026
</t>
        </r>
      </text>
    </comment>
  </commentList>
</comments>
</file>

<file path=xl/sharedStrings.xml><?xml version="1.0" encoding="utf-8"?>
<sst xmlns="http://schemas.openxmlformats.org/spreadsheetml/2006/main" count="501" uniqueCount="101">
  <si>
    <t>FORMS AND FORMATS</t>
  </si>
  <si>
    <r>
      <rPr>
        <b/>
        <sz val="11"/>
        <color theme="1"/>
        <rFont val="Times New Roman"/>
        <family val="1"/>
      </rPr>
      <t>Title</t>
    </r>
    <r>
      <rPr>
        <b/>
        <sz val="12"/>
        <color theme="1"/>
        <rFont val="Times New Roman"/>
        <family val="1"/>
      </rPr>
      <t>:</t>
    </r>
    <r>
      <rPr>
        <sz val="11"/>
        <color theme="1"/>
        <rFont val="Times New Roman"/>
        <family val="1"/>
      </rPr>
      <t xml:space="preserve"> Stock Sheet</t>
    </r>
  </si>
  <si>
    <t>Department</t>
  </si>
  <si>
    <t>STORES</t>
  </si>
  <si>
    <t>Version No.</t>
  </si>
  <si>
    <t>Issued Date</t>
  </si>
  <si>
    <t>DOC. No.</t>
  </si>
  <si>
    <t>FM/STR/001</t>
  </si>
  <si>
    <t>Supersedes</t>
  </si>
  <si>
    <t>NIL</t>
  </si>
  <si>
    <t>Next Review Date</t>
  </si>
  <si>
    <t>Effective date</t>
  </si>
  <si>
    <t>Type of Goods</t>
  </si>
  <si>
    <t>Storage Location</t>
  </si>
  <si>
    <t>Part Number</t>
  </si>
  <si>
    <t>Product Name</t>
  </si>
  <si>
    <t>Rate</t>
  </si>
  <si>
    <t>Unit</t>
  </si>
  <si>
    <t>Minimum Stock</t>
  </si>
  <si>
    <t>Re order level</t>
  </si>
  <si>
    <t>Maximum Stock</t>
  </si>
  <si>
    <t>Functions</t>
  </si>
  <si>
    <t>Prepared By</t>
  </si>
  <si>
    <t>Reviewed By</t>
  </si>
  <si>
    <t>Approved By</t>
  </si>
  <si>
    <t>Name</t>
  </si>
  <si>
    <t>Designation</t>
  </si>
  <si>
    <t>Date</t>
  </si>
  <si>
    <t xml:space="preserve">Sign </t>
  </si>
  <si>
    <t>Teller Technologies Private Limited</t>
  </si>
  <si>
    <t>2nd Floor, No.1 7th Cross, 2nd Block TC Palya Main Road CSB Bank ATM Akshaya Nagar  Ramamurthi Nagar Bangalore-560016</t>
  </si>
  <si>
    <t>G3</t>
  </si>
  <si>
    <t>OTH-0910002</t>
  </si>
  <si>
    <t>Anti-Skid Pad / Grommet</t>
  </si>
  <si>
    <t>OTH-0910003</t>
  </si>
  <si>
    <t>Grommet - Black</t>
  </si>
  <si>
    <t>OTH-0910004</t>
  </si>
  <si>
    <t>Grommet (GLAND IP68)</t>
  </si>
  <si>
    <t>OTH-0910005</t>
  </si>
  <si>
    <t>Heat Sink - Raspberry Pi - TellerX</t>
  </si>
  <si>
    <t>OTH-0910006</t>
  </si>
  <si>
    <t>Lug - Toilet Switch</t>
  </si>
  <si>
    <t>OTH-0910007</t>
  </si>
  <si>
    <t xml:space="preserve">Magnet - 10x2 </t>
  </si>
  <si>
    <t>OTH-0910008</t>
  </si>
  <si>
    <t>Magnet - 10x3</t>
  </si>
  <si>
    <t>OTH-0910009</t>
  </si>
  <si>
    <t>Magnet - 10x3 with Hole North</t>
  </si>
  <si>
    <t>OTH-0910010</t>
  </si>
  <si>
    <t>Magnet - 10x3 with Hole South</t>
  </si>
  <si>
    <t>OTH-0910011</t>
  </si>
  <si>
    <t>Pull Cord - Red Thread</t>
  </si>
  <si>
    <t>OTH-0910012</t>
  </si>
  <si>
    <t>Switch Cap 12mm - Red</t>
  </si>
  <si>
    <t>OTH-0910013</t>
  </si>
  <si>
    <t>TellerX Fan</t>
  </si>
  <si>
    <t>OTH-0910014</t>
  </si>
  <si>
    <t>Fiber Washer - M2</t>
  </si>
  <si>
    <t>OTH-0910015</t>
  </si>
  <si>
    <t>5 Pin Socket  (2 in 1)</t>
  </si>
  <si>
    <t>OTH-0910016</t>
  </si>
  <si>
    <t>Cap - 8mm (RGB Metal Door Indicator)</t>
  </si>
  <si>
    <t>ADP-0200001</t>
  </si>
  <si>
    <t>Adapter - 5V 1.5A with DC Jack Plug Type 2.1 x 5.5 m</t>
  </si>
  <si>
    <t>ADP-0200002</t>
  </si>
  <si>
    <t>Adapter - 5V 3A - Raspberry Pi 3B+</t>
  </si>
  <si>
    <t>ADP-0200003</t>
  </si>
  <si>
    <t>Adapter - Raspberry Pi 4</t>
  </si>
  <si>
    <t>ADP-0200004</t>
  </si>
  <si>
    <t>DC Jack Female Socket Type 2.1 x 5.5 m</t>
  </si>
  <si>
    <t>ADP-0200005</t>
  </si>
  <si>
    <t>Adapter - For Mini UPS</t>
  </si>
  <si>
    <t>BAT-0090001</t>
  </si>
  <si>
    <t>Battery 400 mAH</t>
  </si>
  <si>
    <t>BAT-0090002</t>
  </si>
  <si>
    <t>Battery Clip - AA</t>
  </si>
  <si>
    <t>BAT-0090003</t>
  </si>
  <si>
    <t>Battery Duracell Ultra - AA</t>
  </si>
  <si>
    <t>BAT-0090004</t>
  </si>
  <si>
    <t>Battery Holder - AA</t>
  </si>
  <si>
    <t>BAT-0090005</t>
  </si>
  <si>
    <t>Cell CR 2032 - TellerX</t>
  </si>
  <si>
    <t>BAT-0090006</t>
  </si>
  <si>
    <t>Mini UPS</t>
  </si>
  <si>
    <t>SPK-0150001</t>
  </si>
  <si>
    <t>Speaker - TellerX</t>
  </si>
  <si>
    <t>CBL-0290015</t>
  </si>
  <si>
    <t>8-Core Round Cable</t>
  </si>
  <si>
    <t>DUMMY</t>
  </si>
  <si>
    <t>LUG ROUND</t>
  </si>
  <si>
    <t>F3</t>
  </si>
  <si>
    <t>G5</t>
  </si>
  <si>
    <t>G4</t>
  </si>
  <si>
    <t>F2</t>
  </si>
  <si>
    <t>D4</t>
  </si>
  <si>
    <t>Opening Stock</t>
  </si>
  <si>
    <t>Closing Stock</t>
  </si>
  <si>
    <t>Mtr</t>
  </si>
  <si>
    <t>Check above This Colour</t>
  </si>
  <si>
    <t>Not Use</t>
  </si>
  <si>
    <t>On Order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</si>
</sst>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0"/>
      <color theme="1"/>
      <name val="Times New Roman"/>
      <family val="1"/>
    </font>
    <font>
      <sz val="10"/>
      <color rgb="FFFF0000"/>
      <name val="Times New Roman"/>
      <family val="1"/>
    </font>
    <font>
      <b/>
      <sz val="10"/>
      <color theme="1"/>
      <name val="Times New Roman"/>
      <family val="1"/>
    </font>
    <font>
      <sz val="10"/>
      <name val="Times New Roman"/>
      <family val="1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b/>
      <sz val="12"/>
      <color rgb="FF000000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8"/>
      <color theme="1"/>
      <name val="Times New Roman"/>
      <family val="1"/>
    </font>
    <font>
      <sz val="11"/>
      <color theme="1"/>
      <name val="Times New Roman"/>
      <family val="1"/>
    </font>
    <font>
      <b/>
      <sz val="12"/>
      <color theme="1"/>
      <name val="Times New Roman"/>
      <family val="1"/>
    </font>
    <font>
      <b/>
      <sz val="11"/>
      <color theme="1"/>
      <name val="Times New Roman"/>
      <family val="1"/>
    </font>
    <font>
      <sz val="12"/>
      <color theme="1"/>
      <name val="Times New Roman"/>
      <family val="1"/>
    </font>
    <font>
      <b/>
      <sz val="10"/>
      <color rgb="FF0000FF"/>
      <name val="Times New Roman"/>
      <family val="1"/>
    </font>
    <font>
      <b/>
      <sz val="10"/>
      <color rgb="FFFF0000"/>
      <name val="Times New Roman"/>
      <family val="1"/>
    </font>
    <font>
      <sz val="11"/>
      <color rgb="FF000000"/>
      <name val="Calibri"/>
      <family val="2"/>
      <scheme val="minor"/>
    </font>
    <font>
      <b/>
      <sz val="11"/>
      <color rgb="FF0000FF"/>
      <name val="Calibri"/>
      <family val="2"/>
      <scheme val="minor"/>
    </font>
    <font>
      <b/>
      <sz val="9"/>
      <color theme="1"/>
      <name val="Times New Roman"/>
      <family val="1"/>
    </font>
    <font>
      <b/>
      <sz val="11"/>
      <color rgb="FF0070C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FF00"/>
        <bgColor rgb="FF000000"/>
      </patternFill>
    </fill>
    <fill>
      <patternFill patternType="solid">
        <fgColor rgb="FFFF9933"/>
        <bgColor indexed="64"/>
      </patternFill>
    </fill>
    <fill>
      <patternFill patternType="solid">
        <fgColor rgb="FFFFFF00"/>
        <bgColor indexed="64"/>
      </patternFill>
    </fill>
  </fills>
  <borders count="23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79">
    <xf numFmtId="0" fontId="0" fillId="0" borderId="0" xfId="0"/>
    <xf numFmtId="0" fontId="1" fillId="0" borderId="0" xfId="0" applyFont="1"/>
    <xf numFmtId="0" fontId="1" fillId="0" borderId="0" xfId="0" applyFont="1" applyAlignment="1">
      <alignment wrapText="1"/>
    </xf>
    <xf numFmtId="0" fontId="1" fillId="0" borderId="1" xfId="0" applyFont="1" applyBorder="1"/>
    <xf numFmtId="1" fontId="2" fillId="0" borderId="1" xfId="0" applyNumberFormat="1" applyFont="1" applyBorder="1" applyAlignment="1">
      <alignment horizontal="center" wrapText="1"/>
    </xf>
    <xf numFmtId="0" fontId="3" fillId="0" borderId="1" xfId="0" applyFont="1" applyBorder="1" applyAlignment="1">
      <alignment horizontal="center" wrapText="1"/>
    </xf>
    <xf numFmtId="0" fontId="3" fillId="0" borderId="1" xfId="0" applyFont="1" applyBorder="1" applyAlignment="1">
      <alignment vertical="center"/>
    </xf>
    <xf numFmtId="0" fontId="3" fillId="0" borderId="1" xfId="0" applyFont="1" applyBorder="1"/>
    <xf numFmtId="0" fontId="7" fillId="2" borderId="4" xfId="0" applyFont="1" applyFill="1" applyBorder="1" applyAlignment="1">
      <alignment vertical="center" wrapText="1"/>
    </xf>
    <xf numFmtId="0" fontId="8" fillId="2" borderId="3" xfId="0" applyFont="1" applyFill="1" applyBorder="1" applyAlignment="1">
      <alignment horizontal="center" vertical="center" wrapText="1"/>
    </xf>
    <xf numFmtId="0" fontId="7" fillId="2" borderId="3" xfId="0" applyFont="1" applyFill="1" applyBorder="1" applyAlignment="1">
      <alignment horizontal="center" vertical="center" wrapText="1"/>
    </xf>
    <xf numFmtId="14" fontId="8" fillId="0" borderId="3" xfId="0" applyNumberFormat="1" applyFont="1" applyBorder="1" applyAlignment="1">
      <alignment horizontal="center" vertical="center" wrapText="1"/>
    </xf>
    <xf numFmtId="0" fontId="0" fillId="0" borderId="1" xfId="0" applyBorder="1"/>
    <xf numFmtId="0" fontId="14" fillId="0" borderId="1" xfId="0" applyFont="1" applyBorder="1" applyAlignment="1">
      <alignment horizontal="center"/>
    </xf>
    <xf numFmtId="1" fontId="15" fillId="0" borderId="1" xfId="0" applyNumberFormat="1" applyFont="1" applyBorder="1" applyAlignment="1">
      <alignment horizontal="center" wrapText="1"/>
    </xf>
    <xf numFmtId="14" fontId="3" fillId="0" borderId="1" xfId="0" applyNumberFormat="1" applyFont="1" applyBorder="1"/>
    <xf numFmtId="0" fontId="0" fillId="0" borderId="1" xfId="0" applyBorder="1" applyAlignment="1">
      <alignment horizontal="center" wrapText="1"/>
    </xf>
    <xf numFmtId="0" fontId="0" fillId="0" borderId="0" xfId="0" applyAlignment="1">
      <alignment horizontal="center" wrapText="1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3" xfId="0" applyFont="1" applyFill="1" applyBorder="1" applyAlignment="1">
      <alignment vertical="center" wrapText="1"/>
    </xf>
    <xf numFmtId="0" fontId="16" fillId="0" borderId="1" xfId="0" applyFont="1" applyBorder="1" applyAlignment="1">
      <alignment vertical="top"/>
    </xf>
    <xf numFmtId="0" fontId="8" fillId="2" borderId="15" xfId="0" applyFont="1" applyFill="1" applyBorder="1" applyAlignment="1">
      <alignment horizontal="center" vertical="center" wrapText="1"/>
    </xf>
    <xf numFmtId="0" fontId="7" fillId="2" borderId="15" xfId="0" applyFont="1" applyFill="1" applyBorder="1" applyAlignment="1">
      <alignment horizontal="center" vertical="center" wrapText="1"/>
    </xf>
    <xf numFmtId="14" fontId="8" fillId="0" borderId="15" xfId="0" applyNumberFormat="1" applyFont="1" applyBorder="1" applyAlignment="1">
      <alignment horizontal="center" vertical="center" wrapText="1"/>
    </xf>
    <xf numFmtId="0" fontId="3" fillId="0" borderId="1" xfId="0" applyFont="1" applyBorder="1" applyAlignment="1">
      <alignment wrapText="1"/>
    </xf>
    <xf numFmtId="1" fontId="4" fillId="0" borderId="13" xfId="0" applyNumberFormat="1" applyFont="1" applyBorder="1" applyAlignment="1">
      <alignment horizontal="center" wrapText="1"/>
    </xf>
    <xf numFmtId="0" fontId="7" fillId="2" borderId="20" xfId="0" applyFont="1" applyFill="1" applyBorder="1" applyAlignment="1">
      <alignment vertical="center"/>
    </xf>
    <xf numFmtId="0" fontId="7" fillId="2" borderId="21" xfId="0" applyFont="1" applyFill="1" applyBorder="1" applyAlignment="1">
      <alignment vertical="center"/>
    </xf>
    <xf numFmtId="0" fontId="1" fillId="0" borderId="1" xfId="0" applyFont="1" applyBorder="1" applyAlignment="1">
      <alignment wrapText="1"/>
    </xf>
    <xf numFmtId="0" fontId="0" fillId="0" borderId="1" xfId="0" applyBorder="1" applyAlignment="1">
      <alignment horizontal="center"/>
    </xf>
    <xf numFmtId="0" fontId="16" fillId="3" borderId="1" xfId="0" applyFont="1" applyFill="1" applyBorder="1" applyAlignment="1">
      <alignment vertical="top"/>
    </xf>
    <xf numFmtId="1" fontId="1" fillId="0" borderId="1" xfId="0" applyNumberFormat="1" applyFont="1" applyBorder="1" applyAlignment="1">
      <alignment horizontal="center" wrapText="1"/>
    </xf>
    <xf numFmtId="1" fontId="15" fillId="0" borderId="13" xfId="0" applyNumberFormat="1" applyFont="1" applyBorder="1" applyAlignment="1">
      <alignment horizontal="center" wrapText="1"/>
    </xf>
    <xf numFmtId="0" fontId="3" fillId="0" borderId="0" xfId="0" applyFont="1" applyAlignment="1">
      <alignment horizontal="center" wrapText="1"/>
    </xf>
    <xf numFmtId="0" fontId="16" fillId="0" borderId="22" xfId="0" applyFont="1" applyBorder="1" applyAlignment="1">
      <alignment vertical="top"/>
    </xf>
    <xf numFmtId="0" fontId="17" fillId="0" borderId="1" xfId="0" applyFont="1" applyBorder="1" applyAlignment="1">
      <alignment horizontal="center"/>
    </xf>
    <xf numFmtId="14" fontId="18" fillId="0" borderId="1" xfId="0" applyNumberFormat="1" applyFont="1" applyBorder="1"/>
    <xf numFmtId="14" fontId="3" fillId="0" borderId="1" xfId="0" applyNumberFormat="1" applyFont="1" applyBorder="1" applyAlignment="1">
      <alignment horizontal="center"/>
    </xf>
    <xf numFmtId="0" fontId="0" fillId="4" borderId="0" xfId="0" applyFill="1"/>
    <xf numFmtId="0" fontId="16" fillId="4" borderId="1" xfId="0" applyFont="1" applyFill="1" applyBorder="1" applyAlignment="1">
      <alignment vertical="top"/>
    </xf>
    <xf numFmtId="1" fontId="15" fillId="5" borderId="13" xfId="0" applyNumberFormat="1" applyFont="1" applyFill="1" applyBorder="1" applyAlignment="1">
      <alignment horizontal="center" wrapText="1"/>
    </xf>
    <xf numFmtId="0" fontId="9" fillId="0" borderId="7" xfId="0" applyFont="1" applyBorder="1" applyAlignment="1">
      <alignment horizontal="center" vertical="center" wrapText="1"/>
    </xf>
    <xf numFmtId="0" fontId="10" fillId="0" borderId="8" xfId="0" applyFont="1" applyBorder="1" applyAlignment="1">
      <alignment horizontal="center" vertical="center" wrapText="1"/>
    </xf>
    <xf numFmtId="0" fontId="10" fillId="0" borderId="0" xfId="0" applyFont="1" applyAlignment="1">
      <alignment horizontal="center" vertical="center" wrapText="1"/>
    </xf>
    <xf numFmtId="0" fontId="10" fillId="0" borderId="9" xfId="0" applyFont="1" applyBorder="1" applyAlignment="1">
      <alignment horizontal="center" vertical="center" wrapText="1"/>
    </xf>
    <xf numFmtId="0" fontId="11" fillId="0" borderId="10" xfId="0" applyFont="1" applyBorder="1" applyAlignment="1">
      <alignment horizontal="center" vertical="center" wrapText="1"/>
    </xf>
    <xf numFmtId="0" fontId="10" fillId="0" borderId="1" xfId="0" applyFont="1" applyBorder="1" applyAlignment="1">
      <alignment horizontal="left" vertical="center" wrapText="1"/>
    </xf>
    <xf numFmtId="0" fontId="12" fillId="0" borderId="1" xfId="0" applyFont="1" applyBorder="1" applyAlignment="1">
      <alignment horizontal="right" vertical="center" wrapText="1"/>
    </xf>
    <xf numFmtId="0" fontId="10" fillId="0" borderId="11" xfId="0" applyFont="1" applyBorder="1" applyAlignment="1">
      <alignment horizontal="center" vertical="center" wrapText="1"/>
    </xf>
    <xf numFmtId="0" fontId="10" fillId="0" borderId="12" xfId="0" applyFont="1" applyBorder="1" applyAlignment="1">
      <alignment horizontal="center" vertical="center" wrapText="1"/>
    </xf>
    <xf numFmtId="0" fontId="10" fillId="0" borderId="13" xfId="0" applyFont="1" applyBorder="1" applyAlignment="1">
      <alignment horizontal="center" vertical="center" wrapText="1"/>
    </xf>
    <xf numFmtId="0" fontId="11" fillId="0" borderId="1" xfId="0" applyFont="1" applyBorder="1" applyAlignment="1">
      <alignment horizontal="right" vertical="center" wrapText="1"/>
    </xf>
    <xf numFmtId="0" fontId="12" fillId="0" borderId="1" xfId="0" applyFont="1" applyBorder="1" applyAlignment="1">
      <alignment horizontal="center" vertical="center" wrapText="1"/>
    </xf>
    <xf numFmtId="0" fontId="0" fillId="0" borderId="11" xfId="0" applyBorder="1" applyAlignment="1">
      <alignment horizontal="center"/>
    </xf>
    <xf numFmtId="0" fontId="0" fillId="0" borderId="13" xfId="0" applyBorder="1" applyAlignment="1">
      <alignment horizontal="center"/>
    </xf>
    <xf numFmtId="0" fontId="10" fillId="0" borderId="1" xfId="0" applyFont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13" fillId="0" borderId="1" xfId="0" applyFont="1" applyBorder="1" applyAlignment="1">
      <alignment vertical="center" wrapText="1"/>
    </xf>
    <xf numFmtId="0" fontId="8" fillId="2" borderId="19" xfId="0" applyFont="1" applyFill="1" applyBorder="1" applyAlignment="1">
      <alignment horizontal="center" vertical="center"/>
    </xf>
    <xf numFmtId="0" fontId="8" fillId="2" borderId="2" xfId="0" applyFont="1" applyFill="1" applyBorder="1" applyAlignment="1">
      <alignment horizontal="center" vertical="center"/>
    </xf>
    <xf numFmtId="0" fontId="7" fillId="2" borderId="19" xfId="0" applyFont="1" applyFill="1" applyBorder="1" applyAlignment="1">
      <alignment horizontal="center" vertical="center"/>
    </xf>
    <xf numFmtId="0" fontId="7" fillId="2" borderId="2" xfId="0" applyFont="1" applyFill="1" applyBorder="1" applyAlignment="1">
      <alignment horizontal="center" vertical="center"/>
    </xf>
    <xf numFmtId="14" fontId="8" fillId="0" borderId="19" xfId="0" applyNumberFormat="1" applyFont="1" applyBorder="1" applyAlignment="1">
      <alignment horizontal="center" vertical="center"/>
    </xf>
    <xf numFmtId="14" fontId="8" fillId="0" borderId="2" xfId="0" applyNumberFormat="1" applyFont="1" applyBorder="1" applyAlignment="1">
      <alignment horizontal="center" vertical="center"/>
    </xf>
    <xf numFmtId="0" fontId="7" fillId="2" borderId="5" xfId="0" applyFont="1" applyFill="1" applyBorder="1" applyAlignment="1">
      <alignment vertical="center" wrapText="1"/>
    </xf>
    <xf numFmtId="0" fontId="7" fillId="2" borderId="6" xfId="0" applyFont="1" applyFill="1" applyBorder="1" applyAlignment="1">
      <alignment vertical="center" wrapText="1"/>
    </xf>
    <xf numFmtId="0" fontId="7" fillId="2" borderId="4" xfId="0" applyFont="1" applyFill="1" applyBorder="1" applyAlignment="1">
      <alignment vertical="center" wrapText="1"/>
    </xf>
    <xf numFmtId="0" fontId="8" fillId="0" borderId="5" xfId="0" applyFont="1" applyBorder="1" applyAlignment="1">
      <alignment vertical="center" wrapText="1"/>
    </xf>
    <xf numFmtId="0" fontId="8" fillId="0" borderId="6" xfId="0" applyFont="1" applyBorder="1" applyAlignment="1">
      <alignment vertical="center" wrapText="1"/>
    </xf>
    <xf numFmtId="0" fontId="8" fillId="0" borderId="4" xfId="0" applyFont="1" applyBorder="1" applyAlignment="1">
      <alignment vertical="center" wrapText="1"/>
    </xf>
    <xf numFmtId="0" fontId="8" fillId="0" borderId="16" xfId="0" applyFont="1" applyBorder="1" applyAlignment="1">
      <alignment vertical="center" wrapText="1"/>
    </xf>
    <xf numFmtId="0" fontId="8" fillId="0" borderId="14" xfId="0" applyFont="1" applyBorder="1" applyAlignment="1">
      <alignment vertical="center" wrapText="1"/>
    </xf>
    <xf numFmtId="0" fontId="8" fillId="0" borderId="17" xfId="0" applyFont="1" applyBorder="1" applyAlignment="1">
      <alignment vertical="center" wrapText="1"/>
    </xf>
    <xf numFmtId="0" fontId="8" fillId="0" borderId="14" xfId="0" applyFont="1" applyBorder="1" applyAlignment="1">
      <alignment horizontal="center" vertical="center"/>
    </xf>
    <xf numFmtId="0" fontId="8" fillId="0" borderId="18" xfId="0" applyFont="1" applyBorder="1" applyAlignment="1">
      <alignment horizontal="center" vertical="center"/>
    </xf>
    <xf numFmtId="0" fontId="8" fillId="0" borderId="17" xfId="0" applyFont="1" applyBorder="1" applyAlignment="1">
      <alignment horizontal="center" vertical="center"/>
    </xf>
    <xf numFmtId="0" fontId="8" fillId="0" borderId="3" xfId="0" applyFont="1" applyBorder="1" applyAlignment="1">
      <alignment horizontal="center" vertical="center"/>
    </xf>
    <xf numFmtId="0" fontId="19" fillId="0" borderId="1" xfId="0" applyFont="1" applyBorder="1" applyAlignment="1">
      <alignment horizontal="center"/>
    </xf>
  </cellXfs>
  <cellStyles count="1">
    <cellStyle name="Normal" xfId="0" builtinId="0"/>
  </cellStyles>
  <dxfs count="12"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rgb="FFFF0000"/>
      </font>
      <fill>
        <patternFill>
          <bgColor theme="9" tint="0.59996337778862885"/>
        </patternFill>
      </fill>
    </dxf>
    <dxf>
      <font>
        <color rgb="FFFF0000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2" defaultPivotStyle="PivotStyleMedium9"/>
  <colors>
    <mruColors>
      <color rgb="FFFF9933"/>
      <color rgb="FF0000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2.bin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comments" Target="../comments4.xml"/><Relationship Id="rId1" Type="http://schemas.openxmlformats.org/officeDocument/2006/relationships/vmlDrawing" Target="../drawings/vmlDrawing4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AQ62"/>
  <sheetViews>
    <sheetView workbookViewId="0">
      <pane xSplit="3" ySplit="10" topLeftCell="D11" activePane="bottomRight" state="frozen"/>
      <selection pane="topRight" activeCell="D1" sqref="D1"/>
      <selection pane="bottomLeft" activeCell="A11" sqref="A11"/>
      <selection pane="bottomRight" activeCell="F21" sqref="F21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3" customFormat="1" ht="15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3" customFormat="1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3" customFormat="1" ht="15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3" customFormat="1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2">
        <v>0</v>
      </c>
      <c r="N5" s="53" t="s">
        <v>5</v>
      </c>
      <c r="O5" s="53"/>
      <c r="P5" s="54"/>
      <c r="Q5" s="55"/>
    </row>
    <row r="6" spans="1:43" customFormat="1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3" customFormat="1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5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95</v>
      </c>
      <c r="G10" s="37">
        <v>46023</v>
      </c>
      <c r="H10" s="37">
        <v>46024</v>
      </c>
      <c r="I10" s="37">
        <v>46025</v>
      </c>
      <c r="J10" s="37">
        <v>46026</v>
      </c>
      <c r="K10" s="37">
        <v>46027</v>
      </c>
      <c r="L10" s="37">
        <v>46028</v>
      </c>
      <c r="M10" s="37">
        <v>46029</v>
      </c>
      <c r="N10" s="37">
        <v>46030</v>
      </c>
      <c r="O10" s="37">
        <v>46031</v>
      </c>
      <c r="P10" s="37">
        <v>46032</v>
      </c>
      <c r="Q10" s="37">
        <v>46033</v>
      </c>
      <c r="R10" s="37">
        <v>46034</v>
      </c>
      <c r="S10" s="37">
        <v>46035</v>
      </c>
      <c r="T10" s="37">
        <v>46036</v>
      </c>
      <c r="U10" s="37">
        <v>46037</v>
      </c>
      <c r="V10" s="37">
        <v>46038</v>
      </c>
      <c r="W10" s="37">
        <v>46039</v>
      </c>
      <c r="X10" s="37">
        <v>46040</v>
      </c>
      <c r="Y10" s="37">
        <v>46041</v>
      </c>
      <c r="Z10" s="37">
        <v>46042</v>
      </c>
      <c r="AA10" s="37">
        <v>46043</v>
      </c>
      <c r="AB10" s="37">
        <v>46044</v>
      </c>
      <c r="AC10" s="37">
        <v>46045</v>
      </c>
      <c r="AD10" s="37">
        <v>46046</v>
      </c>
      <c r="AE10" s="37">
        <v>46047</v>
      </c>
      <c r="AF10" s="37">
        <v>46048</v>
      </c>
      <c r="AG10" s="37">
        <v>46049</v>
      </c>
      <c r="AH10" s="37">
        <v>46050</v>
      </c>
      <c r="AI10" s="37">
        <v>46051</v>
      </c>
      <c r="AJ10" s="37">
        <v>46052</v>
      </c>
      <c r="AK10" s="37">
        <v>46053</v>
      </c>
      <c r="AL10" s="14" t="s">
        <v>96</v>
      </c>
      <c r="AM10" s="5" t="s">
        <v>18</v>
      </c>
      <c r="AN10" s="5" t="s">
        <v>19</v>
      </c>
      <c r="AO10" s="5" t="s">
        <v>20</v>
      </c>
      <c r="AP10" s="16"/>
      <c r="AQ10" s="17"/>
    </row>
    <row r="11" spans="1:43" customFormat="1" ht="15" x14ac:dyDescent="0.25">
      <c r="A11" s="35" t="s">
        <v>31</v>
      </c>
      <c r="B11" s="21" t="s">
        <v>32</v>
      </c>
      <c r="C11" s="21" t="s">
        <v>33</v>
      </c>
      <c r="D11" s="6"/>
      <c r="E11" s="7"/>
      <c r="F11" s="14">
        <v>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3">
        <f>F11+SUM(G11:AK11)</f>
        <v>0</v>
      </c>
      <c r="AM11" s="34"/>
      <c r="AN11" s="34"/>
      <c r="AO11" s="34"/>
      <c r="AP11" s="17"/>
      <c r="AQ11" s="17"/>
    </row>
    <row r="12" spans="1:43" customFormat="1" ht="15" x14ac:dyDescent="0.25">
      <c r="A12" s="35" t="s">
        <v>90</v>
      </c>
      <c r="B12" s="21" t="s">
        <v>34</v>
      </c>
      <c r="C12" s="21" t="s">
        <v>35</v>
      </c>
      <c r="D12" s="6"/>
      <c r="E12" s="7"/>
      <c r="F12" s="14">
        <v>2325</v>
      </c>
      <c r="G12" s="30"/>
      <c r="H12" s="30"/>
      <c r="I12" s="30">
        <v>-160</v>
      </c>
      <c r="J12" s="30">
        <v>-42</v>
      </c>
      <c r="K12" s="30"/>
      <c r="L12" s="30">
        <f>-58+-146</f>
        <v>-204</v>
      </c>
      <c r="M12" s="30"/>
      <c r="N12" s="30"/>
      <c r="O12" s="30">
        <v>-12</v>
      </c>
      <c r="P12" s="30"/>
      <c r="Q12" s="30"/>
      <c r="R12" s="30">
        <v>-102</v>
      </c>
      <c r="S12" s="30"/>
      <c r="T12" s="30"/>
      <c r="U12" s="30"/>
      <c r="V12" s="38"/>
      <c r="W12" s="38"/>
      <c r="X12" s="38"/>
      <c r="Y12" s="38"/>
      <c r="Z12" s="38"/>
      <c r="AA12" s="38"/>
      <c r="AB12" s="30"/>
      <c r="AC12" s="30">
        <v>-40</v>
      </c>
      <c r="AD12" s="38"/>
      <c r="AE12" s="38"/>
      <c r="AF12" s="38"/>
      <c r="AG12" s="38"/>
      <c r="AH12" s="30">
        <v>-22</v>
      </c>
      <c r="AI12" s="30">
        <f>-112+-12</f>
        <v>-124</v>
      </c>
      <c r="AJ12" s="30">
        <f>-138+-14</f>
        <v>-152</v>
      </c>
      <c r="AK12" s="38"/>
      <c r="AL12" s="33">
        <f t="shared" ref="AL12:AL47" si="0">F12+SUM(G12:AK12)</f>
        <v>1467</v>
      </c>
      <c r="AM12" s="34"/>
      <c r="AN12" s="34"/>
      <c r="AO12" s="34"/>
      <c r="AP12" s="17"/>
      <c r="AQ12" s="17"/>
    </row>
    <row r="13" spans="1:43" customFormat="1" ht="15" x14ac:dyDescent="0.25">
      <c r="A13" s="35" t="s">
        <v>90</v>
      </c>
      <c r="B13" s="21" t="s">
        <v>36</v>
      </c>
      <c r="C13" s="21" t="s">
        <v>37</v>
      </c>
      <c r="D13" s="6"/>
      <c r="E13" s="7"/>
      <c r="F13" s="14">
        <v>7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8"/>
      <c r="W13" s="38"/>
      <c r="X13" s="38"/>
      <c r="Y13" s="38"/>
      <c r="Z13" s="38"/>
      <c r="AA13" s="30">
        <v>-6</v>
      </c>
      <c r="AB13" s="30"/>
      <c r="AC13" s="1"/>
      <c r="AD13" s="38"/>
      <c r="AE13" s="38"/>
      <c r="AF13" s="38"/>
      <c r="AG13" s="38"/>
      <c r="AH13" s="38"/>
      <c r="AI13" s="38"/>
      <c r="AJ13" s="38"/>
      <c r="AK13" s="38"/>
      <c r="AL13" s="33">
        <f t="shared" si="0"/>
        <v>1</v>
      </c>
      <c r="AM13" s="34"/>
      <c r="AN13" s="34"/>
      <c r="AO13" s="34"/>
      <c r="AP13" s="17"/>
      <c r="AQ13" s="17"/>
    </row>
    <row r="14" spans="1:43" customFormat="1" ht="15" x14ac:dyDescent="0.25">
      <c r="A14" s="35" t="s">
        <v>90</v>
      </c>
      <c r="B14" s="21" t="s">
        <v>38</v>
      </c>
      <c r="C14" s="21" t="s">
        <v>39</v>
      </c>
      <c r="D14" s="6"/>
      <c r="E14" s="7"/>
      <c r="F14" s="14">
        <v>92</v>
      </c>
      <c r="G14" s="30"/>
      <c r="H14" s="30"/>
      <c r="I14" s="30">
        <v>-1</v>
      </c>
      <c r="J14" s="30"/>
      <c r="K14" s="30"/>
      <c r="L14" s="30"/>
      <c r="M14" s="30"/>
      <c r="N14" s="30"/>
      <c r="O14" s="30">
        <v>-1</v>
      </c>
      <c r="P14" s="30"/>
      <c r="Q14" s="30"/>
      <c r="R14" s="30"/>
      <c r="S14" s="30"/>
      <c r="T14" s="30"/>
      <c r="U14" s="30"/>
      <c r="V14" s="30">
        <v>-13</v>
      </c>
      <c r="W14" s="30">
        <f>-1+-1+-1</f>
        <v>-3</v>
      </c>
      <c r="X14" s="38"/>
      <c r="Y14" s="38"/>
      <c r="Z14" s="38"/>
      <c r="AA14" s="30">
        <v>-5</v>
      </c>
      <c r="AB14" s="30">
        <v>-1</v>
      </c>
      <c r="AC14" s="30">
        <v>-25</v>
      </c>
      <c r="AD14" s="38"/>
      <c r="AE14" s="38"/>
      <c r="AF14" s="38"/>
      <c r="AG14" s="38"/>
      <c r="AH14" s="38"/>
      <c r="AI14" s="38"/>
      <c r="AJ14" s="38"/>
      <c r="AK14" s="36">
        <v>25</v>
      </c>
      <c r="AL14" s="33">
        <f t="shared" si="0"/>
        <v>68</v>
      </c>
      <c r="AM14" s="34"/>
      <c r="AN14" s="34"/>
      <c r="AO14" s="34"/>
      <c r="AP14" s="17"/>
      <c r="AQ14" s="17"/>
    </row>
    <row r="15" spans="1:43" customFormat="1" ht="15" x14ac:dyDescent="0.25">
      <c r="A15" s="35" t="s">
        <v>90</v>
      </c>
      <c r="B15" s="21" t="s">
        <v>40</v>
      </c>
      <c r="C15" s="21" t="s">
        <v>41</v>
      </c>
      <c r="D15" s="6"/>
      <c r="E15" s="7"/>
      <c r="F15" s="14">
        <v>736</v>
      </c>
      <c r="G15" s="30"/>
      <c r="H15" s="30">
        <v>-12</v>
      </c>
      <c r="I15" s="30"/>
      <c r="J15" s="30">
        <v>-4</v>
      </c>
      <c r="K15" s="30"/>
      <c r="L15" s="30"/>
      <c r="M15" s="30"/>
      <c r="N15" s="30">
        <v>-37</v>
      </c>
      <c r="O15" s="30">
        <v>-6</v>
      </c>
      <c r="P15" s="30"/>
      <c r="Q15" s="30"/>
      <c r="R15" s="30">
        <v>-71</v>
      </c>
      <c r="S15" s="30">
        <v>-12</v>
      </c>
      <c r="T15" s="30"/>
      <c r="U15" s="36">
        <v>600</v>
      </c>
      <c r="V15" s="30">
        <f>-14+-400</f>
        <v>-414</v>
      </c>
      <c r="W15" s="38"/>
      <c r="X15" s="38"/>
      <c r="Y15" s="38"/>
      <c r="Z15" s="38"/>
      <c r="AA15" s="38"/>
      <c r="AB15" s="30">
        <v>-13</v>
      </c>
      <c r="AC15" s="30">
        <v>-20</v>
      </c>
      <c r="AD15" s="38"/>
      <c r="AE15" s="38"/>
      <c r="AF15" s="38"/>
      <c r="AG15" s="38"/>
      <c r="AH15" s="38"/>
      <c r="AI15" s="38"/>
      <c r="AJ15" s="30">
        <v>-7</v>
      </c>
      <c r="AK15" s="38"/>
      <c r="AL15" s="33">
        <f t="shared" si="0"/>
        <v>740</v>
      </c>
      <c r="AM15" s="34"/>
      <c r="AN15" s="34"/>
      <c r="AO15" s="34"/>
      <c r="AP15" s="17"/>
      <c r="AQ15" s="17"/>
    </row>
    <row r="16" spans="1:43" customFormat="1" ht="15" x14ac:dyDescent="0.25">
      <c r="A16" s="35" t="s">
        <v>31</v>
      </c>
      <c r="B16" s="21" t="s">
        <v>42</v>
      </c>
      <c r="C16" s="21" t="s">
        <v>43</v>
      </c>
      <c r="D16" s="6"/>
      <c r="E16" s="7"/>
      <c r="F16" s="14">
        <v>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8"/>
      <c r="W16" s="38"/>
      <c r="X16" s="38"/>
      <c r="Y16" s="38"/>
      <c r="Z16" s="38"/>
      <c r="AA16" s="38"/>
      <c r="AB16" s="30"/>
      <c r="AC16" s="38"/>
      <c r="AD16" s="38"/>
      <c r="AE16" s="38"/>
      <c r="AF16" s="38"/>
      <c r="AG16" s="38"/>
      <c r="AH16" s="38"/>
      <c r="AI16" s="38"/>
      <c r="AJ16" s="38"/>
      <c r="AK16" s="38"/>
      <c r="AL16" s="33">
        <f t="shared" si="0"/>
        <v>0</v>
      </c>
      <c r="AM16" s="34"/>
      <c r="AN16" s="34"/>
      <c r="AO16" s="34"/>
      <c r="AP16" s="17"/>
      <c r="AQ16" s="17"/>
    </row>
    <row r="17" spans="1:43" customFormat="1" ht="15" x14ac:dyDescent="0.25">
      <c r="A17" s="35" t="s">
        <v>31</v>
      </c>
      <c r="B17" s="21" t="s">
        <v>44</v>
      </c>
      <c r="C17" s="21" t="s">
        <v>45</v>
      </c>
      <c r="D17" s="6"/>
      <c r="E17" s="7"/>
      <c r="F17" s="14">
        <v>0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8"/>
      <c r="W17" s="38"/>
      <c r="X17" s="38"/>
      <c r="Y17" s="38"/>
      <c r="Z17" s="38"/>
      <c r="AA17" s="38"/>
      <c r="AB17" s="30"/>
      <c r="AC17" s="38"/>
      <c r="AD17" s="38"/>
      <c r="AE17" s="38"/>
      <c r="AF17" s="38"/>
      <c r="AG17" s="38"/>
      <c r="AH17" s="38"/>
      <c r="AI17" s="30"/>
      <c r="AJ17" s="38"/>
      <c r="AK17" s="38"/>
      <c r="AL17" s="33">
        <f t="shared" si="0"/>
        <v>0</v>
      </c>
      <c r="AM17" s="34"/>
      <c r="AN17" s="34"/>
      <c r="AO17" s="34"/>
      <c r="AP17" s="17"/>
      <c r="AQ17" s="17"/>
    </row>
    <row r="18" spans="1:43" customFormat="1" ht="15" x14ac:dyDescent="0.25">
      <c r="A18" s="35" t="s">
        <v>31</v>
      </c>
      <c r="B18" s="21" t="s">
        <v>46</v>
      </c>
      <c r="C18" s="21" t="s">
        <v>47</v>
      </c>
      <c r="D18" s="6"/>
      <c r="E18" s="7"/>
      <c r="F18" s="14">
        <f>270-31</f>
        <v>239</v>
      </c>
      <c r="G18" s="30"/>
      <c r="H18" s="30">
        <v>-58</v>
      </c>
      <c r="I18" s="30">
        <v>-160</v>
      </c>
      <c r="J18" s="30"/>
      <c r="K18" s="30"/>
      <c r="L18" s="30"/>
      <c r="M18" s="30">
        <v>-40</v>
      </c>
      <c r="N18" s="30"/>
      <c r="O18" s="30"/>
      <c r="P18" s="30"/>
      <c r="Q18" s="30"/>
      <c r="R18" s="30"/>
      <c r="S18" s="36">
        <v>300</v>
      </c>
      <c r="T18" s="30">
        <f>-102+-24+-40</f>
        <v>-166</v>
      </c>
      <c r="U18" s="30"/>
      <c r="V18" s="38"/>
      <c r="W18" s="38"/>
      <c r="X18" s="38"/>
      <c r="Y18" s="30">
        <v>-120</v>
      </c>
      <c r="Z18" s="38"/>
      <c r="AA18" s="38"/>
      <c r="AB18" s="30"/>
      <c r="AC18" s="38"/>
      <c r="AD18" s="38"/>
      <c r="AE18" s="38"/>
      <c r="AF18" s="38"/>
      <c r="AG18" s="36">
        <v>500</v>
      </c>
      <c r="AH18" s="30">
        <v>-22</v>
      </c>
      <c r="AI18" s="30">
        <f>-112+-52</f>
        <v>-164</v>
      </c>
      <c r="AJ18" s="30">
        <f>-138+-14</f>
        <v>-152</v>
      </c>
      <c r="AK18" s="38"/>
      <c r="AL18" s="33">
        <f t="shared" si="0"/>
        <v>157</v>
      </c>
      <c r="AM18" s="34"/>
      <c r="AN18" s="34"/>
      <c r="AO18" s="34"/>
      <c r="AP18" s="17"/>
      <c r="AQ18" s="17"/>
    </row>
    <row r="19" spans="1:43" customFormat="1" ht="15" x14ac:dyDescent="0.25">
      <c r="A19" s="35" t="s">
        <v>31</v>
      </c>
      <c r="B19" s="21" t="s">
        <v>48</v>
      </c>
      <c r="C19" s="21" t="s">
        <v>49</v>
      </c>
      <c r="D19" s="6"/>
      <c r="E19" s="7"/>
      <c r="F19" s="14">
        <f>192+35</f>
        <v>227</v>
      </c>
      <c r="G19" s="30"/>
      <c r="H19" s="30">
        <v>-58</v>
      </c>
      <c r="I19" s="30">
        <v>-160</v>
      </c>
      <c r="J19" s="30"/>
      <c r="K19" s="30"/>
      <c r="L19" s="30"/>
      <c r="M19" s="30"/>
      <c r="N19" s="30"/>
      <c r="O19" s="30"/>
      <c r="P19" s="30"/>
      <c r="Q19" s="30"/>
      <c r="R19" s="30"/>
      <c r="S19" s="36">
        <v>300</v>
      </c>
      <c r="T19" s="30">
        <f>-102+-24+-40</f>
        <v>-166</v>
      </c>
      <c r="U19" s="30"/>
      <c r="V19" s="38"/>
      <c r="W19" s="38"/>
      <c r="X19" s="38"/>
      <c r="Y19" s="30">
        <v>-120</v>
      </c>
      <c r="Z19" s="38"/>
      <c r="AA19" s="30">
        <v>-6</v>
      </c>
      <c r="AB19" s="30"/>
      <c r="AC19" s="38"/>
      <c r="AD19" s="38"/>
      <c r="AE19" s="38"/>
      <c r="AF19" s="38"/>
      <c r="AG19" s="36">
        <v>500</v>
      </c>
      <c r="AH19" s="30">
        <v>-22</v>
      </c>
      <c r="AI19" s="30">
        <f>-112+-52</f>
        <v>-164</v>
      </c>
      <c r="AJ19" s="30">
        <f>-138+-14</f>
        <v>-152</v>
      </c>
      <c r="AK19" s="38"/>
      <c r="AL19" s="33">
        <f t="shared" si="0"/>
        <v>179</v>
      </c>
      <c r="AM19" s="34"/>
      <c r="AN19" s="34"/>
      <c r="AO19" s="34"/>
      <c r="AP19" s="17"/>
      <c r="AQ19" s="17"/>
    </row>
    <row r="20" spans="1:43" customFormat="1" ht="15" x14ac:dyDescent="0.25">
      <c r="A20" s="35" t="s">
        <v>91</v>
      </c>
      <c r="B20" s="21" t="s">
        <v>50</v>
      </c>
      <c r="C20" s="21" t="s">
        <v>51</v>
      </c>
      <c r="D20" s="6"/>
      <c r="E20" s="7" t="s">
        <v>97</v>
      </c>
      <c r="F20" s="14">
        <f>895+60</f>
        <v>955</v>
      </c>
      <c r="G20" s="30"/>
      <c r="H20" s="30">
        <v>-30</v>
      </c>
      <c r="I20" s="30"/>
      <c r="J20" s="30">
        <v>-10</v>
      </c>
      <c r="K20" s="30"/>
      <c r="L20" s="30"/>
      <c r="M20" s="30"/>
      <c r="N20" s="30"/>
      <c r="O20" s="30">
        <v>-15</v>
      </c>
      <c r="P20" s="30"/>
      <c r="Q20" s="30"/>
      <c r="R20" s="30">
        <v>-177.5</v>
      </c>
      <c r="S20" s="30">
        <v>-30</v>
      </c>
      <c r="T20" s="30"/>
      <c r="U20" s="30"/>
      <c r="V20" s="30">
        <v>-35</v>
      </c>
      <c r="W20" s="38"/>
      <c r="X20" s="38"/>
      <c r="Y20" s="30"/>
      <c r="Z20" s="38"/>
      <c r="AA20" s="38"/>
      <c r="AB20" s="30">
        <v>-32.5</v>
      </c>
      <c r="AC20" s="30">
        <v>-50</v>
      </c>
      <c r="AD20" s="38"/>
      <c r="AE20" s="38"/>
      <c r="AF20" s="38"/>
      <c r="AG20" s="38"/>
      <c r="AH20" s="38"/>
      <c r="AI20" s="30"/>
      <c r="AJ20" s="30">
        <v>-17.5</v>
      </c>
      <c r="AK20" s="38"/>
      <c r="AL20" s="33">
        <f t="shared" si="0"/>
        <v>557.5</v>
      </c>
      <c r="AM20" s="34"/>
      <c r="AN20" s="34"/>
      <c r="AO20" s="34"/>
      <c r="AP20" s="17"/>
      <c r="AQ20" s="17"/>
    </row>
    <row r="21" spans="1:43" customFormat="1" ht="15" x14ac:dyDescent="0.25">
      <c r="B21" s="21" t="s">
        <v>52</v>
      </c>
      <c r="C21" s="21" t="s">
        <v>53</v>
      </c>
      <c r="D21" s="6"/>
      <c r="E21" s="7"/>
      <c r="F21" s="14">
        <v>0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8"/>
      <c r="W21" s="38"/>
      <c r="X21" s="38"/>
      <c r="Y21" s="38"/>
      <c r="Z21" s="38"/>
      <c r="AA21" s="38"/>
      <c r="AB21" s="30"/>
      <c r="AC21" s="38"/>
      <c r="AD21" s="38"/>
      <c r="AE21" s="38"/>
      <c r="AF21" s="38"/>
      <c r="AG21" s="38"/>
      <c r="AH21" s="38"/>
      <c r="AI21" s="38"/>
      <c r="AJ21" s="30"/>
      <c r="AK21" s="38"/>
      <c r="AL21" s="33">
        <f t="shared" si="0"/>
        <v>0</v>
      </c>
      <c r="AM21" s="34"/>
      <c r="AN21" s="34"/>
      <c r="AO21" s="34"/>
      <c r="AP21" s="17"/>
      <c r="AQ21" s="17"/>
    </row>
    <row r="22" spans="1:43" customFormat="1" ht="15" x14ac:dyDescent="0.25">
      <c r="A22" s="35" t="s">
        <v>90</v>
      </c>
      <c r="B22" s="21" t="s">
        <v>54</v>
      </c>
      <c r="C22" s="21" t="s">
        <v>55</v>
      </c>
      <c r="D22" s="6"/>
      <c r="E22" s="7"/>
      <c r="F22" s="14">
        <v>26</v>
      </c>
      <c r="G22" s="30"/>
      <c r="H22" s="30"/>
      <c r="I22" s="30">
        <v>-1</v>
      </c>
      <c r="J22" s="30"/>
      <c r="K22" s="30"/>
      <c r="L22" s="30"/>
      <c r="M22" s="30"/>
      <c r="N22" s="30"/>
      <c r="O22" s="30">
        <v>-1</v>
      </c>
      <c r="P22" s="30"/>
      <c r="Q22" s="30"/>
      <c r="R22" s="30"/>
      <c r="S22" s="30"/>
      <c r="T22" s="30"/>
      <c r="U22" s="30"/>
      <c r="V22" s="30">
        <v>-13</v>
      </c>
      <c r="W22" s="30">
        <f>-1+-1+-1</f>
        <v>-3</v>
      </c>
      <c r="X22" s="38"/>
      <c r="Y22" s="38"/>
      <c r="Z22" s="36">
        <v>20</v>
      </c>
      <c r="AA22" s="30">
        <v>-5</v>
      </c>
      <c r="AB22" s="30">
        <v>-1</v>
      </c>
      <c r="AC22" s="30">
        <v>-20</v>
      </c>
      <c r="AD22" s="38"/>
      <c r="AE22" s="38"/>
      <c r="AF22" s="38"/>
      <c r="AG22" s="38"/>
      <c r="AH22" s="38"/>
      <c r="AI22" s="38"/>
      <c r="AJ22" s="30"/>
      <c r="AK22" s="36">
        <v>50</v>
      </c>
      <c r="AL22" s="33">
        <f t="shared" si="0"/>
        <v>52</v>
      </c>
      <c r="AM22" s="34"/>
      <c r="AN22" s="34"/>
      <c r="AO22" s="34"/>
      <c r="AP22" s="17"/>
      <c r="AQ22" s="17"/>
    </row>
    <row r="23" spans="1:43" customFormat="1" ht="15" x14ac:dyDescent="0.25">
      <c r="B23" s="21" t="s">
        <v>56</v>
      </c>
      <c r="C23" s="21" t="s">
        <v>57</v>
      </c>
      <c r="D23" s="6"/>
      <c r="E23" s="7"/>
      <c r="F23" s="14">
        <v>0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8"/>
      <c r="W23" s="38"/>
      <c r="X23" s="38"/>
      <c r="Y23" s="38"/>
      <c r="Z23" s="38"/>
      <c r="AA23" s="38"/>
      <c r="AB23" s="30"/>
      <c r="AC23" s="38"/>
      <c r="AD23" s="38"/>
      <c r="AE23" s="38"/>
      <c r="AF23" s="38"/>
      <c r="AG23" s="38"/>
      <c r="AH23" s="38"/>
      <c r="AI23" s="38"/>
      <c r="AJ23" s="30"/>
      <c r="AK23" s="38"/>
      <c r="AL23" s="33">
        <f t="shared" si="0"/>
        <v>0</v>
      </c>
      <c r="AM23" s="34"/>
      <c r="AN23" s="34"/>
      <c r="AO23" s="34"/>
      <c r="AP23" s="17"/>
      <c r="AQ23" s="17"/>
    </row>
    <row r="24" spans="1:43" customFormat="1" ht="15" x14ac:dyDescent="0.25">
      <c r="B24" s="21" t="s">
        <v>58</v>
      </c>
      <c r="C24" s="21" t="s">
        <v>59</v>
      </c>
      <c r="D24" s="6"/>
      <c r="E24" s="7"/>
      <c r="F24" s="14">
        <v>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8"/>
      <c r="W24" s="38"/>
      <c r="X24" s="38"/>
      <c r="Y24" s="38"/>
      <c r="Z24" s="38"/>
      <c r="AA24" s="38"/>
      <c r="AB24" s="30"/>
      <c r="AC24" s="38"/>
      <c r="AD24" s="38"/>
      <c r="AE24" s="38"/>
      <c r="AF24" s="38"/>
      <c r="AG24" s="38"/>
      <c r="AH24" s="38"/>
      <c r="AI24" s="38"/>
      <c r="AJ24" s="38"/>
      <c r="AK24" s="38"/>
      <c r="AL24" s="33">
        <f t="shared" si="0"/>
        <v>0</v>
      </c>
      <c r="AM24" s="34"/>
      <c r="AN24" s="34"/>
      <c r="AO24" s="34"/>
      <c r="AP24" s="17"/>
      <c r="AQ24" s="17"/>
    </row>
    <row r="25" spans="1:43" customFormat="1" ht="15" x14ac:dyDescent="0.25">
      <c r="A25" s="35" t="s">
        <v>31</v>
      </c>
      <c r="B25" s="21" t="s">
        <v>60</v>
      </c>
      <c r="C25" s="21" t="s">
        <v>61</v>
      </c>
      <c r="D25" s="6"/>
      <c r="E25" s="7"/>
      <c r="F25" s="14">
        <v>197</v>
      </c>
      <c r="G25" s="30"/>
      <c r="H25" s="30">
        <v>-12</v>
      </c>
      <c r="I25" s="30"/>
      <c r="J25" s="30">
        <v>-5</v>
      </c>
      <c r="K25" s="30"/>
      <c r="L25" s="30"/>
      <c r="M25" s="30"/>
      <c r="N25" s="30"/>
      <c r="O25" s="30"/>
      <c r="P25" s="30"/>
      <c r="Q25" s="30"/>
      <c r="R25" s="30">
        <v>-73</v>
      </c>
      <c r="S25" s="30"/>
      <c r="T25" s="30"/>
      <c r="U25" s="30"/>
      <c r="V25" s="38"/>
      <c r="W25" s="38"/>
      <c r="X25" s="38"/>
      <c r="Y25" s="38"/>
      <c r="Z25" s="38"/>
      <c r="AA25" s="38"/>
      <c r="AB25" s="30"/>
      <c r="AC25" s="38"/>
      <c r="AD25" s="38"/>
      <c r="AE25" s="38"/>
      <c r="AF25" s="38"/>
      <c r="AG25" s="38"/>
      <c r="AH25" s="38"/>
      <c r="AI25" s="38"/>
      <c r="AJ25" s="38"/>
      <c r="AK25" s="38"/>
      <c r="AL25" s="33">
        <f t="shared" si="0"/>
        <v>107</v>
      </c>
      <c r="AM25" s="34"/>
      <c r="AN25" s="34"/>
      <c r="AO25" s="34"/>
      <c r="AP25" s="17"/>
      <c r="AQ25" s="17"/>
    </row>
    <row r="26" spans="1:43" customFormat="1" ht="15" x14ac:dyDescent="0.25">
      <c r="A26" s="35" t="s">
        <v>92</v>
      </c>
      <c r="B26" s="21" t="s">
        <v>62</v>
      </c>
      <c r="C26" s="21" t="s">
        <v>63</v>
      </c>
      <c r="D26" s="6"/>
      <c r="E26" s="7"/>
      <c r="F26" s="14">
        <v>3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8"/>
      <c r="W26" s="38"/>
      <c r="X26" s="38"/>
      <c r="Y26" s="38"/>
      <c r="Z26" s="38"/>
      <c r="AA26" s="38"/>
      <c r="AB26" s="30"/>
      <c r="AC26" s="38"/>
      <c r="AD26" s="38"/>
      <c r="AE26" s="38"/>
      <c r="AF26" s="38"/>
      <c r="AG26" s="38"/>
      <c r="AH26" s="38"/>
      <c r="AI26" s="38"/>
      <c r="AJ26" s="38"/>
      <c r="AK26" s="38"/>
      <c r="AL26" s="33">
        <f t="shared" si="0"/>
        <v>3</v>
      </c>
      <c r="AM26" s="34"/>
      <c r="AN26" s="34"/>
      <c r="AO26" s="34"/>
      <c r="AP26" s="17"/>
      <c r="AQ26" s="17"/>
    </row>
    <row r="27" spans="1:43" customFormat="1" ht="15" x14ac:dyDescent="0.25">
      <c r="A27" s="35" t="s">
        <v>92</v>
      </c>
      <c r="B27" s="21" t="s">
        <v>64</v>
      </c>
      <c r="C27" s="21" t="s">
        <v>65</v>
      </c>
      <c r="D27" s="6"/>
      <c r="E27" s="7"/>
      <c r="F27" s="14">
        <v>2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>
        <v>-2</v>
      </c>
      <c r="U27" s="30"/>
      <c r="V27" s="38"/>
      <c r="W27" s="38"/>
      <c r="X27" s="38"/>
      <c r="Y27" s="38"/>
      <c r="Z27" s="38"/>
      <c r="AA27" s="38"/>
      <c r="AB27" s="30"/>
      <c r="AC27" s="38"/>
      <c r="AD27" s="38"/>
      <c r="AE27" s="38"/>
      <c r="AF27" s="38"/>
      <c r="AG27" s="38"/>
      <c r="AH27" s="38"/>
      <c r="AI27" s="38"/>
      <c r="AJ27" s="38"/>
      <c r="AK27" s="38"/>
      <c r="AL27" s="33">
        <f t="shared" si="0"/>
        <v>0</v>
      </c>
      <c r="AM27" s="34"/>
      <c r="AN27" s="34"/>
      <c r="AO27" s="34"/>
      <c r="AP27" s="17"/>
      <c r="AQ27" s="17"/>
    </row>
    <row r="28" spans="1:43" customFormat="1" ht="15" x14ac:dyDescent="0.25">
      <c r="B28" s="21" t="s">
        <v>66</v>
      </c>
      <c r="C28" s="21" t="s">
        <v>67</v>
      </c>
      <c r="D28" s="6"/>
      <c r="E28" s="7"/>
      <c r="F28" s="14">
        <v>1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>
        <v>-1</v>
      </c>
      <c r="U28" s="30"/>
      <c r="V28" s="38"/>
      <c r="W28" s="38"/>
      <c r="X28" s="38"/>
      <c r="Y28" s="38"/>
      <c r="Z28" s="38"/>
      <c r="AA28" s="38"/>
      <c r="AB28" s="30"/>
      <c r="AC28" s="38"/>
      <c r="AD28" s="38"/>
      <c r="AE28" s="38"/>
      <c r="AF28" s="38"/>
      <c r="AG28" s="38"/>
      <c r="AH28" s="38"/>
      <c r="AI28" s="38"/>
      <c r="AJ28" s="38"/>
      <c r="AK28" s="38"/>
      <c r="AL28" s="33">
        <f t="shared" si="0"/>
        <v>0</v>
      </c>
      <c r="AM28" s="34"/>
      <c r="AN28" s="34"/>
      <c r="AO28" s="34"/>
      <c r="AP28" s="17"/>
      <c r="AQ28" s="17"/>
    </row>
    <row r="29" spans="1:43" customFormat="1" ht="15" x14ac:dyDescent="0.25">
      <c r="A29" s="35" t="s">
        <v>31</v>
      </c>
      <c r="B29" s="21" t="s">
        <v>68</v>
      </c>
      <c r="C29" s="21" t="s">
        <v>69</v>
      </c>
      <c r="D29" s="6"/>
      <c r="E29" s="7"/>
      <c r="F29" s="14">
        <v>13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8"/>
      <c r="W29" s="38"/>
      <c r="X29" s="38"/>
      <c r="Y29" s="38"/>
      <c r="Z29" s="38"/>
      <c r="AA29" s="38"/>
      <c r="AB29" s="30"/>
      <c r="AC29" s="38"/>
      <c r="AD29" s="38"/>
      <c r="AE29" s="38"/>
      <c r="AF29" s="38"/>
      <c r="AG29" s="38"/>
      <c r="AH29" s="38"/>
      <c r="AI29" s="38"/>
      <c r="AJ29" s="38"/>
      <c r="AK29" s="38"/>
      <c r="AL29" s="33">
        <f t="shared" si="0"/>
        <v>13</v>
      </c>
      <c r="AM29" s="34"/>
      <c r="AN29" s="34"/>
      <c r="AO29" s="34"/>
      <c r="AP29" s="17"/>
      <c r="AQ29" s="17"/>
    </row>
    <row r="30" spans="1:43" customFormat="1" ht="15" x14ac:dyDescent="0.25">
      <c r="B30" s="21" t="s">
        <v>70</v>
      </c>
      <c r="C30" s="21" t="s">
        <v>71</v>
      </c>
      <c r="D30" s="6"/>
      <c r="E30" s="7"/>
      <c r="F30" s="14">
        <v>1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8"/>
      <c r="W30" s="38"/>
      <c r="X30" s="38"/>
      <c r="Y30" s="38"/>
      <c r="Z30" s="38"/>
      <c r="AA30" s="38"/>
      <c r="AB30" s="30"/>
      <c r="AC30" s="38"/>
      <c r="AD30" s="38"/>
      <c r="AE30" s="38"/>
      <c r="AF30" s="38"/>
      <c r="AG30" s="38"/>
      <c r="AH30" s="38"/>
      <c r="AI30" s="38"/>
      <c r="AJ30" s="38"/>
      <c r="AK30" s="38"/>
      <c r="AL30" s="33">
        <f t="shared" si="0"/>
        <v>1</v>
      </c>
      <c r="AM30" s="34"/>
      <c r="AN30" s="34"/>
      <c r="AO30" s="34"/>
      <c r="AP30" s="17"/>
      <c r="AQ30" s="17"/>
    </row>
    <row r="31" spans="1:43" customFormat="1" ht="15" x14ac:dyDescent="0.25">
      <c r="A31" s="35" t="s">
        <v>93</v>
      </c>
      <c r="B31" s="21" t="s">
        <v>72</v>
      </c>
      <c r="C31" s="21" t="s">
        <v>73</v>
      </c>
      <c r="D31" s="6"/>
      <c r="E31" s="7"/>
      <c r="F31" s="14">
        <v>627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8"/>
      <c r="W31" s="38"/>
      <c r="X31" s="38"/>
      <c r="Y31" s="38"/>
      <c r="Z31" s="38"/>
      <c r="AA31" s="38"/>
      <c r="AB31" s="30"/>
      <c r="AC31" s="38"/>
      <c r="AD31" s="38"/>
      <c r="AE31" s="38"/>
      <c r="AF31" s="38"/>
      <c r="AG31" s="38"/>
      <c r="AH31" s="38"/>
      <c r="AI31" s="38"/>
      <c r="AJ31" s="38"/>
      <c r="AK31" s="38"/>
      <c r="AL31" s="33">
        <f t="shared" si="0"/>
        <v>627</v>
      </c>
      <c r="AM31" s="34"/>
      <c r="AN31" s="34"/>
      <c r="AO31" s="34"/>
      <c r="AP31" s="17"/>
      <c r="AQ31" s="17"/>
    </row>
    <row r="32" spans="1:43" customFormat="1" ht="15" x14ac:dyDescent="0.25">
      <c r="B32" s="21" t="s">
        <v>74</v>
      </c>
      <c r="C32" s="21" t="s">
        <v>75</v>
      </c>
      <c r="D32" s="6"/>
      <c r="E32" s="7"/>
      <c r="F32" s="14">
        <v>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8"/>
      <c r="W32" s="38"/>
      <c r="X32" s="38"/>
      <c r="Y32" s="38"/>
      <c r="Z32" s="38"/>
      <c r="AA32" s="38"/>
      <c r="AB32" s="30"/>
      <c r="AC32" s="38"/>
      <c r="AD32" s="38"/>
      <c r="AE32" s="38"/>
      <c r="AF32" s="38"/>
      <c r="AG32" s="38"/>
      <c r="AH32" s="38"/>
      <c r="AI32" s="38"/>
      <c r="AJ32" s="38"/>
      <c r="AK32" s="38"/>
      <c r="AL32" s="33">
        <f t="shared" si="0"/>
        <v>0</v>
      </c>
      <c r="AM32" s="34"/>
      <c r="AN32" s="34"/>
      <c r="AO32" s="34"/>
      <c r="AP32" s="17"/>
      <c r="AQ32" s="17"/>
    </row>
    <row r="33" spans="1:43" customFormat="1" ht="15" x14ac:dyDescent="0.25">
      <c r="A33" s="35" t="s">
        <v>93</v>
      </c>
      <c r="B33" s="21" t="s">
        <v>76</v>
      </c>
      <c r="C33" s="21" t="s">
        <v>77</v>
      </c>
      <c r="D33" s="6"/>
      <c r="E33" s="7"/>
      <c r="F33" s="14">
        <v>17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8"/>
      <c r="X33" s="38"/>
      <c r="Y33" s="38"/>
      <c r="Z33" s="38"/>
      <c r="AA33" s="38"/>
      <c r="AB33" s="30"/>
      <c r="AC33" s="38"/>
      <c r="AD33" s="38"/>
      <c r="AE33" s="38"/>
      <c r="AF33" s="38"/>
      <c r="AG33" s="38"/>
      <c r="AH33" s="38"/>
      <c r="AI33" s="38"/>
      <c r="AJ33" s="38"/>
      <c r="AK33" s="38"/>
      <c r="AL33" s="33">
        <f t="shared" si="0"/>
        <v>17</v>
      </c>
      <c r="AM33" s="34"/>
      <c r="AN33" s="34"/>
      <c r="AO33" s="34"/>
      <c r="AP33" s="17"/>
      <c r="AQ33" s="17"/>
    </row>
    <row r="34" spans="1:43" customFormat="1" ht="15" x14ac:dyDescent="0.25">
      <c r="A34" s="35" t="s">
        <v>93</v>
      </c>
      <c r="B34" s="21" t="s">
        <v>78</v>
      </c>
      <c r="C34" s="21" t="s">
        <v>79</v>
      </c>
      <c r="D34" s="6"/>
      <c r="E34" s="7"/>
      <c r="F34" s="14">
        <v>2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8"/>
      <c r="X34" s="38"/>
      <c r="Y34" s="38"/>
      <c r="Z34" s="38"/>
      <c r="AA34" s="38"/>
      <c r="AB34" s="30"/>
      <c r="AC34" s="38"/>
      <c r="AD34" s="38"/>
      <c r="AE34" s="38"/>
      <c r="AF34" s="38"/>
      <c r="AG34" s="38"/>
      <c r="AH34" s="38"/>
      <c r="AI34" s="38"/>
      <c r="AJ34" s="38"/>
      <c r="AK34" s="38"/>
      <c r="AL34" s="33">
        <f t="shared" si="0"/>
        <v>2</v>
      </c>
      <c r="AM34" s="34"/>
      <c r="AN34" s="34"/>
      <c r="AO34" s="34"/>
      <c r="AP34" s="17"/>
      <c r="AQ34" s="17"/>
    </row>
    <row r="35" spans="1:43" customFormat="1" ht="15" x14ac:dyDescent="0.25">
      <c r="A35" s="35" t="s">
        <v>90</v>
      </c>
      <c r="B35" s="21" t="s">
        <v>80</v>
      </c>
      <c r="C35" s="21" t="s">
        <v>81</v>
      </c>
      <c r="D35" s="6"/>
      <c r="E35" s="7"/>
      <c r="F35" s="14">
        <v>27</v>
      </c>
      <c r="G35" s="30"/>
      <c r="H35" s="30"/>
      <c r="I35" s="30">
        <v>-1</v>
      </c>
      <c r="J35" s="30"/>
      <c r="K35" s="30"/>
      <c r="L35" s="30"/>
      <c r="M35" s="30"/>
      <c r="N35" s="30"/>
      <c r="O35" s="30">
        <v>-1</v>
      </c>
      <c r="P35" s="30"/>
      <c r="Q35" s="30"/>
      <c r="R35" s="30"/>
      <c r="S35" s="30"/>
      <c r="T35" s="30"/>
      <c r="U35" s="30"/>
      <c r="V35" s="30">
        <v>-13</v>
      </c>
      <c r="W35" s="30">
        <f>-1+-1+-1</f>
        <v>-3</v>
      </c>
      <c r="X35" s="38"/>
      <c r="Y35" s="38"/>
      <c r="Z35" s="36">
        <v>10</v>
      </c>
      <c r="AA35" s="30">
        <v>-5</v>
      </c>
      <c r="AB35" s="30">
        <v>-1</v>
      </c>
      <c r="AC35" s="30">
        <v>-12</v>
      </c>
      <c r="AD35" s="38"/>
      <c r="AE35" s="38"/>
      <c r="AF35" s="38"/>
      <c r="AG35" s="38"/>
      <c r="AH35" s="38"/>
      <c r="AI35" s="38"/>
      <c r="AJ35" s="38"/>
      <c r="AK35" s="36">
        <v>50</v>
      </c>
      <c r="AL35" s="33">
        <f t="shared" si="0"/>
        <v>51</v>
      </c>
      <c r="AM35" s="34"/>
      <c r="AN35" s="34"/>
      <c r="AO35" s="34"/>
      <c r="AP35" s="17"/>
      <c r="AQ35" s="17"/>
    </row>
    <row r="36" spans="1:43" customFormat="1" ht="15" x14ac:dyDescent="0.25">
      <c r="A36" s="35" t="s">
        <v>93</v>
      </c>
      <c r="B36" s="21" t="s">
        <v>82</v>
      </c>
      <c r="C36" s="21" t="s">
        <v>83</v>
      </c>
      <c r="D36" s="6"/>
      <c r="E36" s="7"/>
      <c r="F36" s="14">
        <v>0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8"/>
      <c r="X36" s="38"/>
      <c r="Y36" s="38"/>
      <c r="Z36" s="38"/>
      <c r="AA36" s="38"/>
      <c r="AB36" s="30"/>
      <c r="AC36" s="38"/>
      <c r="AD36" s="38"/>
      <c r="AE36" s="38"/>
      <c r="AF36" s="38"/>
      <c r="AG36" s="38"/>
      <c r="AH36" s="38"/>
      <c r="AI36" s="38"/>
      <c r="AJ36" s="38"/>
      <c r="AK36" s="38"/>
      <c r="AL36" s="33">
        <f t="shared" si="0"/>
        <v>0</v>
      </c>
      <c r="AM36" s="34"/>
      <c r="AN36" s="34"/>
      <c r="AO36" s="34"/>
      <c r="AP36" s="17"/>
      <c r="AQ36" s="17"/>
    </row>
    <row r="37" spans="1:43" customFormat="1" ht="15" x14ac:dyDescent="0.25">
      <c r="A37" s="35" t="s">
        <v>94</v>
      </c>
      <c r="B37" s="21" t="s">
        <v>84</v>
      </c>
      <c r="C37" s="21" t="s">
        <v>85</v>
      </c>
      <c r="D37" s="6"/>
      <c r="E37" s="7"/>
      <c r="F37" s="14">
        <v>120</v>
      </c>
      <c r="G37" s="30"/>
      <c r="H37" s="30"/>
      <c r="I37" s="30">
        <v>-2</v>
      </c>
      <c r="J37" s="30"/>
      <c r="K37" s="30"/>
      <c r="L37" s="30">
        <v>-6</v>
      </c>
      <c r="M37" s="1"/>
      <c r="N37" s="30"/>
      <c r="O37" s="30">
        <v>-2</v>
      </c>
      <c r="P37" s="30"/>
      <c r="Q37" s="30"/>
      <c r="R37" s="30"/>
      <c r="S37" s="30"/>
      <c r="T37" s="30"/>
      <c r="U37" s="30"/>
      <c r="V37" s="30">
        <v>-26</v>
      </c>
      <c r="W37" s="30">
        <f>-2+-2+-2</f>
        <v>-6</v>
      </c>
      <c r="X37" s="38"/>
      <c r="Y37" s="38"/>
      <c r="Z37" s="38"/>
      <c r="AA37" s="30">
        <v>-10</v>
      </c>
      <c r="AB37" s="30">
        <v>-2</v>
      </c>
      <c r="AC37" s="30">
        <v>-50</v>
      </c>
      <c r="AD37" s="38"/>
      <c r="AE37" s="38"/>
      <c r="AF37" s="38"/>
      <c r="AG37" s="38"/>
      <c r="AH37" s="38"/>
      <c r="AI37" s="38"/>
      <c r="AJ37" s="38"/>
      <c r="AK37" s="36">
        <v>100</v>
      </c>
      <c r="AL37" s="33">
        <f t="shared" si="0"/>
        <v>116</v>
      </c>
      <c r="AM37" s="34"/>
      <c r="AN37" s="34"/>
      <c r="AO37" s="34"/>
      <c r="AP37" s="17"/>
      <c r="AQ37" s="17"/>
    </row>
    <row r="38" spans="1:43" customFormat="1" ht="15" x14ac:dyDescent="0.25">
      <c r="B38" s="21" t="s">
        <v>86</v>
      </c>
      <c r="C38" s="21" t="s">
        <v>87</v>
      </c>
      <c r="D38" s="6"/>
      <c r="E38" s="7" t="s">
        <v>97</v>
      </c>
      <c r="F38" s="14">
        <v>29.38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8"/>
      <c r="W38" s="38"/>
      <c r="X38" s="38"/>
      <c r="Y38" s="38"/>
      <c r="Z38" s="38"/>
      <c r="AA38" s="38"/>
      <c r="AB38" s="30"/>
      <c r="AC38" s="38"/>
      <c r="AD38" s="38"/>
      <c r="AE38" s="38"/>
      <c r="AF38" s="38"/>
      <c r="AG38" s="38"/>
      <c r="AH38" s="38"/>
      <c r="AI38" s="38"/>
      <c r="AJ38" s="38"/>
      <c r="AK38" s="38"/>
      <c r="AL38" s="33">
        <f t="shared" si="0"/>
        <v>29.38</v>
      </c>
      <c r="AM38" s="34"/>
      <c r="AN38" s="34"/>
      <c r="AO38" s="34"/>
      <c r="AP38" s="17"/>
      <c r="AQ38" s="17"/>
    </row>
    <row r="39" spans="1:43" customFormat="1" ht="15" x14ac:dyDescent="0.25">
      <c r="A39" s="35" t="s">
        <v>92</v>
      </c>
      <c r="B39" s="39"/>
      <c r="C39" s="40" t="s">
        <v>88</v>
      </c>
      <c r="D39" s="6"/>
      <c r="E39" s="7"/>
      <c r="F39" s="14"/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8"/>
      <c r="W39" s="38"/>
      <c r="X39" s="38"/>
      <c r="Y39" s="38"/>
      <c r="Z39" s="38"/>
      <c r="AA39" s="38"/>
      <c r="AB39" s="30"/>
      <c r="AC39" s="38"/>
      <c r="AD39" s="38"/>
      <c r="AE39" s="38"/>
      <c r="AF39" s="38"/>
      <c r="AG39" s="38"/>
      <c r="AH39" s="38"/>
      <c r="AI39" s="38"/>
      <c r="AJ39" s="38"/>
      <c r="AK39" s="38"/>
      <c r="AL39" s="33">
        <f t="shared" si="0"/>
        <v>0</v>
      </c>
      <c r="AM39" s="34"/>
      <c r="AN39" s="34"/>
      <c r="AO39" s="34"/>
      <c r="AP39" s="17"/>
      <c r="AQ39" s="17"/>
    </row>
    <row r="40" spans="1:43" customFormat="1" ht="15" x14ac:dyDescent="0.25">
      <c r="A40" s="35" t="s">
        <v>31</v>
      </c>
      <c r="B40" s="39"/>
      <c r="C40" s="40" t="s">
        <v>89</v>
      </c>
      <c r="D40" s="6"/>
      <c r="E40" s="7"/>
      <c r="F40" s="14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8"/>
      <c r="W40" s="38"/>
      <c r="X40" s="38"/>
      <c r="Y40" s="38"/>
      <c r="Z40" s="38"/>
      <c r="AA40" s="38"/>
      <c r="AB40" s="30"/>
      <c r="AC40" s="38"/>
      <c r="AD40" s="38"/>
      <c r="AE40" s="38"/>
      <c r="AF40" s="38"/>
      <c r="AG40" s="38"/>
      <c r="AH40" s="38"/>
      <c r="AI40" s="38"/>
      <c r="AJ40" s="38"/>
      <c r="AK40" s="38"/>
      <c r="AL40" s="33">
        <f t="shared" si="0"/>
        <v>0</v>
      </c>
      <c r="AM40" s="34"/>
      <c r="AN40" s="34"/>
      <c r="AO40" s="34"/>
      <c r="AP40" s="17"/>
      <c r="AQ40" s="17"/>
    </row>
    <row r="41" spans="1:43" customFormat="1" ht="15" x14ac:dyDescent="0.25">
      <c r="B41" s="21"/>
      <c r="C41" s="21" t="s">
        <v>98</v>
      </c>
      <c r="D41" s="12"/>
      <c r="E41" s="3"/>
      <c r="F41" s="4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3">
        <f t="shared" si="0"/>
        <v>0</v>
      </c>
    </row>
    <row r="42" spans="1:43" customFormat="1" ht="15" x14ac:dyDescent="0.25">
      <c r="B42" s="21"/>
      <c r="C42" s="21"/>
      <c r="D42" s="12"/>
      <c r="E42" s="3"/>
      <c r="F42" s="4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3">
        <f t="shared" si="0"/>
        <v>0</v>
      </c>
    </row>
    <row r="43" spans="1:43" customFormat="1" ht="15" x14ac:dyDescent="0.25">
      <c r="B43" s="21"/>
      <c r="C43" s="21"/>
      <c r="D43" s="12"/>
      <c r="E43" s="3"/>
      <c r="F43" s="4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3">
        <f t="shared" si="0"/>
        <v>0</v>
      </c>
    </row>
    <row r="44" spans="1:43" customFormat="1" ht="15" x14ac:dyDescent="0.25">
      <c r="B44" s="21"/>
      <c r="C44" s="21"/>
      <c r="D44" s="12"/>
      <c r="E44" s="3"/>
      <c r="F44" s="4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3">
        <f t="shared" si="0"/>
        <v>0</v>
      </c>
    </row>
    <row r="45" spans="1:43" customFormat="1" ht="15" x14ac:dyDescent="0.25">
      <c r="B45" s="21"/>
      <c r="C45" s="21"/>
      <c r="D45" s="12"/>
      <c r="E45" s="3"/>
      <c r="F45" s="4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3">
        <f t="shared" si="0"/>
        <v>0</v>
      </c>
    </row>
    <row r="46" spans="1:43" customFormat="1" ht="15" x14ac:dyDescent="0.25">
      <c r="A46" s="32"/>
      <c r="B46" s="21"/>
      <c r="C46" s="21"/>
      <c r="D46" s="12"/>
      <c r="E46" s="3"/>
      <c r="F46" s="4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3">
        <f t="shared" si="0"/>
        <v>0</v>
      </c>
    </row>
    <row r="47" spans="1:43" customFormat="1" ht="15" x14ac:dyDescent="0.25">
      <c r="A47" s="32"/>
      <c r="B47" s="21"/>
      <c r="C47" s="21"/>
      <c r="D47" s="12"/>
      <c r="E47" s="3"/>
      <c r="F47" s="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33">
        <f t="shared" si="0"/>
        <v>0</v>
      </c>
    </row>
    <row r="48" spans="1:43" customFormat="1" ht="14.25" customHeight="1" x14ac:dyDescent="0.25">
      <c r="A48" s="32"/>
      <c r="B48" s="21"/>
      <c r="C48" s="21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6">
        <f t="shared" ref="AL48:AL51" si="1">SUM(G48:AK48)+F48</f>
        <v>0</v>
      </c>
    </row>
    <row r="49" spans="1:38" customFormat="1" ht="15" x14ac:dyDescent="0.25">
      <c r="A49" s="32"/>
      <c r="B49" s="21"/>
      <c r="C49" s="21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6">
        <f t="shared" si="1"/>
        <v>0</v>
      </c>
    </row>
    <row r="50" spans="1:38" customFormat="1" ht="15" x14ac:dyDescent="0.25">
      <c r="A50" s="32"/>
      <c r="B50" s="21"/>
      <c r="C50" s="21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12"/>
      <c r="AL50" s="26">
        <f t="shared" si="1"/>
        <v>0</v>
      </c>
    </row>
    <row r="51" spans="1:38" customFormat="1" ht="15" x14ac:dyDescent="0.25">
      <c r="A51" s="32"/>
      <c r="B51" s="21"/>
      <c r="C51" s="21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12"/>
      <c r="AL51" s="26">
        <f t="shared" si="1"/>
        <v>0</v>
      </c>
    </row>
    <row r="52" spans="1:38" customFormat="1" ht="15" x14ac:dyDescent="0.25">
      <c r="A52" s="32"/>
      <c r="B52" s="21"/>
      <c r="C52" s="2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6">
        <f t="shared" ref="AL52:AL53" si="2">F52+SUM(G52:AK52)</f>
        <v>0</v>
      </c>
    </row>
    <row r="53" spans="1:38" customFormat="1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6">
        <f t="shared" si="2"/>
        <v>0</v>
      </c>
    </row>
    <row r="54" spans="1:38" ht="12.75" customHeight="1" x14ac:dyDescent="0.25">
      <c r="A54" s="3"/>
      <c r="B54" s="29"/>
      <c r="C54" s="29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12"/>
      <c r="AC54" s="3"/>
      <c r="AD54" s="3"/>
      <c r="AE54" s="3"/>
      <c r="AF54" s="3"/>
      <c r="AG54" s="3"/>
      <c r="AH54" s="3"/>
      <c r="AI54" s="3"/>
      <c r="AJ54" s="3"/>
      <c r="AK54" s="3"/>
    </row>
    <row r="55" spans="1:38" ht="15" x14ac:dyDescent="0.25">
      <c r="A55" s="3"/>
      <c r="B55" s="29"/>
      <c r="C55" s="29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12"/>
      <c r="AC55" s="3"/>
      <c r="AD55" s="3"/>
      <c r="AE55" s="3"/>
      <c r="AF55" s="3"/>
      <c r="AG55" s="3"/>
      <c r="AH55" s="3"/>
      <c r="AI55" s="3"/>
      <c r="AJ55" s="3"/>
      <c r="AK55" s="3"/>
    </row>
    <row r="56" spans="1:38" ht="79.5" customHeight="1" thickBot="1" x14ac:dyDescent="0.3">
      <c r="B56" s="8" t="s">
        <v>21</v>
      </c>
      <c r="C56" s="20"/>
      <c r="D56" s="20"/>
      <c r="E56" s="10" t="s">
        <v>22</v>
      </c>
      <c r="F56" s="23" t="s">
        <v>23</v>
      </c>
      <c r="G56" s="27" t="s">
        <v>24</v>
      </c>
      <c r="H56" s="28"/>
      <c r="AB56" s="12"/>
    </row>
    <row r="57" spans="1:38" ht="16.5" thickBot="1" x14ac:dyDescent="0.3">
      <c r="B57" s="8" t="s">
        <v>25</v>
      </c>
      <c r="C57" s="20"/>
      <c r="D57" s="20"/>
      <c r="E57" s="9"/>
      <c r="F57" s="22"/>
      <c r="G57" s="59"/>
      <c r="H57" s="60"/>
      <c r="AB57" s="12"/>
    </row>
    <row r="58" spans="1:38" ht="16.5" thickBot="1" x14ac:dyDescent="0.3">
      <c r="B58" s="8" t="s">
        <v>26</v>
      </c>
      <c r="C58" s="20"/>
      <c r="D58" s="20"/>
      <c r="E58" s="10"/>
      <c r="F58" s="23"/>
      <c r="G58" s="61"/>
      <c r="H58" s="62"/>
      <c r="AB58" s="12"/>
    </row>
    <row r="59" spans="1:38" ht="16.5" thickBot="1" x14ac:dyDescent="0.25">
      <c r="B59" s="8" t="s">
        <v>27</v>
      </c>
      <c r="C59" s="20"/>
      <c r="D59" s="20"/>
      <c r="E59" s="11"/>
      <c r="F59" s="24"/>
      <c r="G59" s="63"/>
      <c r="H59" s="64"/>
    </row>
    <row r="60" spans="1:38" ht="15.75" x14ac:dyDescent="0.2">
      <c r="B60" s="65" t="s">
        <v>28</v>
      </c>
      <c r="C60" s="18"/>
      <c r="D60" s="18"/>
      <c r="E60" s="68"/>
      <c r="F60" s="71"/>
      <c r="G60" s="74"/>
      <c r="H60" s="75"/>
    </row>
    <row r="61" spans="1:38" ht="15.75" x14ac:dyDescent="0.2">
      <c r="B61" s="66"/>
      <c r="C61" s="19"/>
      <c r="D61" s="19"/>
      <c r="E61" s="69"/>
      <c r="F61" s="72"/>
      <c r="G61" s="74"/>
      <c r="H61" s="75"/>
    </row>
    <row r="62" spans="1:38" ht="16.5" thickBot="1" x14ac:dyDescent="0.25">
      <c r="B62" s="67"/>
      <c r="C62" s="8"/>
      <c r="D62" s="8"/>
      <c r="E62" s="70"/>
      <c r="F62" s="73"/>
      <c r="G62" s="76"/>
      <c r="H62" s="77"/>
    </row>
  </sheetData>
  <mergeCells count="24"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  <mergeCell ref="G60:H62"/>
    <mergeCell ref="G57:H57"/>
    <mergeCell ref="G58:H58"/>
    <mergeCell ref="G59:H59"/>
    <mergeCell ref="B60:B62"/>
    <mergeCell ref="E60:E62"/>
    <mergeCell ref="F60:F62"/>
  </mergeCells>
  <conditionalFormatting sqref="AL48:AL53">
    <cfRule type="cellIs" dxfId="11" priority="4" operator="greaterThan">
      <formula>#REF!</formula>
    </cfRule>
    <cfRule type="cellIs" dxfId="10" priority="5" operator="between">
      <formula>11</formula>
      <formula>50</formula>
    </cfRule>
    <cfRule type="cellIs" dxfId="9" priority="6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89DD10-0AC2-461A-BA2F-54E478B0327A}">
  <sheetPr codeName="Sheet2"/>
  <dimension ref="A1:AL68"/>
  <sheetViews>
    <sheetView workbookViewId="0">
      <pane xSplit="3" ySplit="10" topLeftCell="W11" activePane="bottomRight" state="frozen"/>
      <selection pane="topRight" activeCell="D1" sqref="D1"/>
      <selection pane="bottomLeft" activeCell="A11" sqref="A11"/>
      <selection pane="bottomRight" activeCell="Y18" sqref="Y18:Y19"/>
    </sheetView>
  </sheetViews>
  <sheetFormatPr defaultRowHeight="15" x14ac:dyDescent="0.25"/>
  <cols>
    <col min="2" max="2" width="12.140625" bestFit="1" customWidth="1"/>
    <col min="3" max="3" width="54.28515625" bestFit="1" customWidth="1"/>
    <col min="7" max="33" width="10.140625" bestFit="1" customWidth="1"/>
    <col min="34" max="34" width="13" customWidth="1"/>
  </cols>
  <sheetData>
    <row r="1" spans="1:38" ht="22.5" customHeight="1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38" ht="15" customHeight="1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38" ht="15.75" customHeight="1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38" ht="15" customHeight="1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38" ht="15.75" customHeight="1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2">
        <v>0</v>
      </c>
      <c r="N5" s="53" t="s">
        <v>5</v>
      </c>
      <c r="O5" s="53"/>
      <c r="P5" s="54"/>
      <c r="Q5" s="55"/>
    </row>
    <row r="6" spans="1:38" ht="15.75" customHeight="1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38" ht="15.75" customHeight="1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9" spans="1:38" x14ac:dyDescent="0.25">
      <c r="A9" t="s">
        <v>12</v>
      </c>
    </row>
    <row r="10" spans="1:38" ht="26.25" x14ac:dyDescent="0.25">
      <c r="A10" s="25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95</v>
      </c>
      <c r="G10" s="15">
        <v>46054</v>
      </c>
      <c r="H10" s="15">
        <v>46055</v>
      </c>
      <c r="I10" s="15">
        <v>46056</v>
      </c>
      <c r="J10" s="15">
        <v>46057</v>
      </c>
      <c r="K10" s="15">
        <v>46058</v>
      </c>
      <c r="L10" s="15">
        <v>46059</v>
      </c>
      <c r="M10" s="15">
        <v>46060</v>
      </c>
      <c r="N10" s="15">
        <v>46061</v>
      </c>
      <c r="O10" s="15">
        <v>46062</v>
      </c>
      <c r="P10" s="15">
        <v>46063</v>
      </c>
      <c r="Q10" s="15">
        <v>46064</v>
      </c>
      <c r="R10" s="15">
        <v>46065</v>
      </c>
      <c r="S10" s="15">
        <v>46066</v>
      </c>
      <c r="T10" s="15">
        <v>46067</v>
      </c>
      <c r="U10" s="15">
        <v>46068</v>
      </c>
      <c r="V10" s="15">
        <v>46069</v>
      </c>
      <c r="W10" s="15">
        <v>46070</v>
      </c>
      <c r="X10" s="15">
        <v>46071</v>
      </c>
      <c r="Y10" s="15">
        <v>46072</v>
      </c>
      <c r="Z10" s="15">
        <v>46073</v>
      </c>
      <c r="AA10" s="15">
        <v>46074</v>
      </c>
      <c r="AB10" s="15">
        <v>46075</v>
      </c>
      <c r="AC10" s="15">
        <v>46076</v>
      </c>
      <c r="AD10" s="15">
        <v>46077</v>
      </c>
      <c r="AE10" s="15">
        <v>46078</v>
      </c>
      <c r="AF10" s="15">
        <v>46079</v>
      </c>
      <c r="AG10" s="15">
        <v>46080</v>
      </c>
      <c r="AH10" s="15">
        <v>46081</v>
      </c>
      <c r="AI10" s="14" t="s">
        <v>96</v>
      </c>
      <c r="AJ10" s="5" t="s">
        <v>18</v>
      </c>
      <c r="AK10" s="5" t="s">
        <v>19</v>
      </c>
      <c r="AL10" s="5" t="s">
        <v>20</v>
      </c>
    </row>
    <row r="11" spans="1:38" x14ac:dyDescent="0.25">
      <c r="A11" s="35" t="s">
        <v>31</v>
      </c>
      <c r="B11" s="21" t="s">
        <v>32</v>
      </c>
      <c r="C11" s="21" t="s">
        <v>33</v>
      </c>
      <c r="D11" s="6"/>
      <c r="E11" s="7"/>
      <c r="F11" s="14">
        <f>'Jan 2026'!AL11</f>
        <v>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41">
        <f t="shared" ref="AI11:AI47" si="0">F11+SUM(G11:AH11)</f>
        <v>0</v>
      </c>
      <c r="AJ11" s="34"/>
      <c r="AK11" s="34"/>
      <c r="AL11" s="34"/>
    </row>
    <row r="12" spans="1:38" x14ac:dyDescent="0.25">
      <c r="A12" s="35" t="s">
        <v>90</v>
      </c>
      <c r="B12" s="21" t="s">
        <v>34</v>
      </c>
      <c r="C12" s="21" t="s">
        <v>35</v>
      </c>
      <c r="D12" s="6"/>
      <c r="E12" s="7"/>
      <c r="F12" s="14">
        <f>'Jan 2026'!AL12</f>
        <v>1467</v>
      </c>
      <c r="G12" s="30"/>
      <c r="H12" s="30">
        <v>-34</v>
      </c>
      <c r="I12" s="30"/>
      <c r="J12" s="30">
        <f>-18+-32+-42</f>
        <v>-92</v>
      </c>
      <c r="K12" s="30"/>
      <c r="L12" s="30"/>
      <c r="M12" s="30"/>
      <c r="N12" s="30"/>
      <c r="O12" s="30">
        <v>-4</v>
      </c>
      <c r="P12" s="30"/>
      <c r="Q12" s="30"/>
      <c r="R12" s="30"/>
      <c r="S12" s="30">
        <v>-62</v>
      </c>
      <c r="T12" s="30"/>
      <c r="U12" s="30"/>
      <c r="V12" s="30">
        <v>-72</v>
      </c>
      <c r="W12" s="30"/>
      <c r="X12" s="30"/>
      <c r="Y12" s="30"/>
      <c r="Z12" s="30"/>
      <c r="AA12" s="30">
        <v>-104</v>
      </c>
      <c r="AB12" s="30"/>
      <c r="AC12" s="30">
        <v>-72</v>
      </c>
      <c r="AD12" s="30">
        <v>-44</v>
      </c>
      <c r="AE12" s="38"/>
      <c r="AF12" s="38"/>
      <c r="AG12" s="30">
        <v>-174</v>
      </c>
      <c r="AH12" s="30">
        <v>-16</v>
      </c>
      <c r="AI12" s="41">
        <f t="shared" si="0"/>
        <v>793</v>
      </c>
      <c r="AJ12" s="34"/>
      <c r="AK12" s="34"/>
      <c r="AL12" s="34"/>
    </row>
    <row r="13" spans="1:38" x14ac:dyDescent="0.25">
      <c r="A13" s="35" t="s">
        <v>90</v>
      </c>
      <c r="B13" s="21" t="s">
        <v>36</v>
      </c>
      <c r="C13" s="31" t="s">
        <v>37</v>
      </c>
      <c r="D13" s="6"/>
      <c r="E13" s="7"/>
      <c r="F13" s="14">
        <f>'Jan 2026'!AL13</f>
        <v>1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8"/>
      <c r="W13" s="30"/>
      <c r="X13" s="30"/>
      <c r="Y13" s="30"/>
      <c r="Z13" s="30"/>
      <c r="AA13" s="30"/>
      <c r="AB13" s="30"/>
      <c r="AC13" s="30"/>
      <c r="AD13" s="38"/>
      <c r="AE13" s="38"/>
      <c r="AF13" s="38"/>
      <c r="AG13" s="38"/>
      <c r="AH13" s="38"/>
      <c r="AI13" s="41">
        <f t="shared" si="0"/>
        <v>1</v>
      </c>
      <c r="AJ13" s="34"/>
      <c r="AK13" s="34"/>
      <c r="AL13" s="34"/>
    </row>
    <row r="14" spans="1:38" x14ac:dyDescent="0.25">
      <c r="A14" s="35" t="s">
        <v>90</v>
      </c>
      <c r="B14" s="21" t="s">
        <v>38</v>
      </c>
      <c r="C14" s="21" t="s">
        <v>39</v>
      </c>
      <c r="D14" s="6"/>
      <c r="E14" s="7"/>
      <c r="F14" s="14">
        <f>'Jan 2026'!AL14</f>
        <v>68</v>
      </c>
      <c r="G14" s="30"/>
      <c r="H14" s="30"/>
      <c r="I14" s="30"/>
      <c r="J14" s="30"/>
      <c r="K14" s="30"/>
      <c r="L14" s="30"/>
      <c r="M14" s="30"/>
      <c r="N14" s="30"/>
      <c r="O14" s="30"/>
      <c r="P14" s="30"/>
      <c r="Q14" s="30"/>
      <c r="R14" s="30"/>
      <c r="S14" s="30"/>
      <c r="T14" s="30"/>
      <c r="U14" s="30"/>
      <c r="V14" s="30"/>
      <c r="W14" s="30"/>
      <c r="X14" s="30"/>
      <c r="Y14" s="30"/>
      <c r="Z14" s="30"/>
      <c r="AA14" s="30"/>
      <c r="AB14" s="30"/>
      <c r="AC14" s="30"/>
      <c r="AD14" s="38"/>
      <c r="AE14" s="38"/>
      <c r="AF14" s="38"/>
      <c r="AG14" s="38"/>
      <c r="AH14" s="38"/>
      <c r="AI14" s="41">
        <f t="shared" si="0"/>
        <v>68</v>
      </c>
      <c r="AJ14" s="34"/>
      <c r="AK14" s="34"/>
      <c r="AL14" s="34"/>
    </row>
    <row r="15" spans="1:38" x14ac:dyDescent="0.25">
      <c r="A15" s="35" t="s">
        <v>90</v>
      </c>
      <c r="B15" s="21" t="s">
        <v>40</v>
      </c>
      <c r="C15" s="31" t="s">
        <v>41</v>
      </c>
      <c r="D15" s="6"/>
      <c r="E15" s="7"/>
      <c r="F15" s="14">
        <f>'Jan 2026'!AL15</f>
        <v>740</v>
      </c>
      <c r="G15" s="30"/>
      <c r="H15" s="30"/>
      <c r="I15" s="30"/>
      <c r="J15" s="30">
        <f>-8+-10</f>
        <v>-18</v>
      </c>
      <c r="K15" s="30">
        <v>-9</v>
      </c>
      <c r="L15" s="30"/>
      <c r="M15" s="30">
        <v>-25</v>
      </c>
      <c r="N15" s="30"/>
      <c r="O15" s="30"/>
      <c r="P15" s="30"/>
      <c r="Q15" s="30"/>
      <c r="R15" s="30"/>
      <c r="S15" s="30">
        <v>-15</v>
      </c>
      <c r="T15" s="30"/>
      <c r="U15" s="30"/>
      <c r="V15" s="30"/>
      <c r="W15" s="30"/>
      <c r="X15" s="30"/>
      <c r="Y15" s="30">
        <v>-1</v>
      </c>
      <c r="Z15" s="30">
        <f>-22+-12</f>
        <v>-34</v>
      </c>
      <c r="AA15" s="30">
        <f>-30+-78</f>
        <v>-108</v>
      </c>
      <c r="AB15" s="30"/>
      <c r="AC15" s="30"/>
      <c r="AD15" s="30">
        <v>-22</v>
      </c>
      <c r="AE15" s="38"/>
      <c r="AF15" s="38"/>
      <c r="AG15" s="38"/>
      <c r="AH15" s="38"/>
      <c r="AI15" s="41">
        <f t="shared" si="0"/>
        <v>508</v>
      </c>
      <c r="AJ15" s="34"/>
      <c r="AK15" s="34"/>
      <c r="AL15" s="34"/>
    </row>
    <row r="16" spans="1:38" x14ac:dyDescent="0.25">
      <c r="A16" s="35" t="s">
        <v>31</v>
      </c>
      <c r="B16" s="21" t="s">
        <v>42</v>
      </c>
      <c r="C16" s="21" t="s">
        <v>43</v>
      </c>
      <c r="D16" s="6"/>
      <c r="E16" s="7"/>
      <c r="F16" s="14">
        <f>'Jan 2026'!AL16</f>
        <v>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8"/>
      <c r="W16" s="30"/>
      <c r="X16" s="30"/>
      <c r="Y16" s="30"/>
      <c r="Z16" s="30"/>
      <c r="AA16" s="30"/>
      <c r="AB16" s="30"/>
      <c r="AC16" s="30"/>
      <c r="AD16" s="38"/>
      <c r="AE16" s="38"/>
      <c r="AF16" s="38"/>
      <c r="AG16" s="38"/>
      <c r="AH16" s="38"/>
      <c r="AI16" s="41">
        <f t="shared" si="0"/>
        <v>0</v>
      </c>
      <c r="AJ16" s="34"/>
      <c r="AK16" s="34"/>
      <c r="AL16" s="34"/>
    </row>
    <row r="17" spans="1:38" x14ac:dyDescent="0.25">
      <c r="A17" s="35" t="s">
        <v>31</v>
      </c>
      <c r="B17" s="21" t="s">
        <v>44</v>
      </c>
      <c r="C17" s="21" t="s">
        <v>45</v>
      </c>
      <c r="D17" s="6"/>
      <c r="E17" s="7"/>
      <c r="F17" s="14">
        <f>'Jan 2026'!AL17</f>
        <v>0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8"/>
      <c r="W17" s="30"/>
      <c r="X17" s="36">
        <v>150</v>
      </c>
      <c r="Y17" s="30">
        <v>-150</v>
      </c>
      <c r="Z17" s="30"/>
      <c r="AA17" s="30"/>
      <c r="AB17" s="30"/>
      <c r="AC17" s="30"/>
      <c r="AD17" s="38"/>
      <c r="AE17" s="38"/>
      <c r="AF17" s="38"/>
      <c r="AG17" s="38"/>
      <c r="AH17" s="38"/>
      <c r="AI17" s="41">
        <f t="shared" si="0"/>
        <v>0</v>
      </c>
      <c r="AJ17" s="34"/>
      <c r="AK17" s="34"/>
      <c r="AL17" s="34"/>
    </row>
    <row r="18" spans="1:38" x14ac:dyDescent="0.25">
      <c r="A18" s="35" t="s">
        <v>31</v>
      </c>
      <c r="B18" s="21" t="s">
        <v>46</v>
      </c>
      <c r="C18" s="21" t="s">
        <v>47</v>
      </c>
      <c r="D18" s="6"/>
      <c r="E18" s="7"/>
      <c r="F18" s="14">
        <f>'Jan 2026'!AL18</f>
        <v>157</v>
      </c>
      <c r="G18" s="30"/>
      <c r="H18" s="30">
        <f>-34+-12</f>
        <v>-46</v>
      </c>
      <c r="I18" s="30"/>
      <c r="J18" s="30">
        <f>-18+-32+-42</f>
        <v>-92</v>
      </c>
      <c r="K18" s="30"/>
      <c r="L18" s="30"/>
      <c r="M18" s="30"/>
      <c r="N18" s="30"/>
      <c r="O18" s="30">
        <v>-4</v>
      </c>
      <c r="P18" s="30"/>
      <c r="Q18" s="30"/>
      <c r="R18" s="30"/>
      <c r="S18" s="30">
        <v>-20</v>
      </c>
      <c r="T18" s="30"/>
      <c r="U18" s="30"/>
      <c r="V18" s="38"/>
      <c r="W18" s="30"/>
      <c r="X18" s="30"/>
      <c r="Y18" s="36">
        <v>500</v>
      </c>
      <c r="Z18" s="30">
        <f>-36+-44</f>
        <v>-80</v>
      </c>
      <c r="AA18" s="30">
        <v>-24</v>
      </c>
      <c r="AB18" s="30"/>
      <c r="AC18" s="30">
        <v>-72</v>
      </c>
      <c r="AD18" s="30">
        <v>-44</v>
      </c>
      <c r="AE18" s="38"/>
      <c r="AF18" s="38"/>
      <c r="AG18" s="30">
        <v>-275</v>
      </c>
      <c r="AH18" s="30"/>
      <c r="AI18" s="41">
        <f t="shared" si="0"/>
        <v>0</v>
      </c>
      <c r="AJ18" s="34"/>
      <c r="AK18" s="34"/>
      <c r="AL18" s="34"/>
    </row>
    <row r="19" spans="1:38" x14ac:dyDescent="0.25">
      <c r="A19" s="35" t="s">
        <v>31</v>
      </c>
      <c r="B19" s="21" t="s">
        <v>48</v>
      </c>
      <c r="C19" s="21" t="s">
        <v>49</v>
      </c>
      <c r="D19" s="6"/>
      <c r="E19" s="7"/>
      <c r="F19" s="14">
        <f>'Jan 2026'!AL19</f>
        <v>179</v>
      </c>
      <c r="G19" s="30"/>
      <c r="H19" s="30">
        <f>-34+-12</f>
        <v>-46</v>
      </c>
      <c r="I19" s="30"/>
      <c r="J19" s="30">
        <f>-18+-32+-42</f>
        <v>-92</v>
      </c>
      <c r="K19" s="30"/>
      <c r="L19" s="30"/>
      <c r="M19" s="30"/>
      <c r="N19" s="30"/>
      <c r="O19" s="30">
        <v>-4</v>
      </c>
      <c r="P19" s="30"/>
      <c r="Q19" s="30"/>
      <c r="R19" s="30"/>
      <c r="S19" s="30">
        <v>-44</v>
      </c>
      <c r="T19" s="30"/>
      <c r="U19" s="30"/>
      <c r="V19" s="38"/>
      <c r="W19" s="30"/>
      <c r="X19" s="30"/>
      <c r="Y19" s="36">
        <v>500</v>
      </c>
      <c r="Z19" s="30"/>
      <c r="AA19" s="30">
        <v>-200</v>
      </c>
      <c r="AB19" s="30"/>
      <c r="AC19" s="30">
        <v>-72</v>
      </c>
      <c r="AD19" s="30">
        <v>-44</v>
      </c>
      <c r="AE19" s="38"/>
      <c r="AF19" s="38"/>
      <c r="AG19" s="30">
        <v>-177</v>
      </c>
      <c r="AH19" s="30"/>
      <c r="AI19" s="41">
        <f t="shared" si="0"/>
        <v>0</v>
      </c>
      <c r="AJ19" s="34"/>
      <c r="AK19" s="34"/>
      <c r="AL19" s="34"/>
    </row>
    <row r="20" spans="1:38" x14ac:dyDescent="0.25">
      <c r="A20" s="35" t="s">
        <v>91</v>
      </c>
      <c r="B20" s="21" t="s">
        <v>50</v>
      </c>
      <c r="C20" s="31" t="s">
        <v>51</v>
      </c>
      <c r="D20" s="6"/>
      <c r="E20" s="7"/>
      <c r="F20" s="14">
        <f>'Jan 2026'!AL20</f>
        <v>557.5</v>
      </c>
      <c r="G20" s="30"/>
      <c r="H20" s="30">
        <f>--62.5</f>
        <v>62.5</v>
      </c>
      <c r="I20" s="30"/>
      <c r="J20" s="30">
        <f>-20+-25</f>
        <v>-45</v>
      </c>
      <c r="K20" s="30">
        <v>-22.5</v>
      </c>
      <c r="L20" s="30"/>
      <c r="M20" s="30">
        <f>-62.5+-5</f>
        <v>-67.5</v>
      </c>
      <c r="N20" s="30"/>
      <c r="O20" s="30"/>
      <c r="P20" s="30"/>
      <c r="Q20" s="30"/>
      <c r="R20" s="30"/>
      <c r="S20" s="30">
        <v>-37.5</v>
      </c>
      <c r="T20" s="30"/>
      <c r="U20" s="30"/>
      <c r="V20" s="30"/>
      <c r="W20" s="30"/>
      <c r="X20" s="30"/>
      <c r="Y20" s="30">
        <v>-5</v>
      </c>
      <c r="Z20" s="30">
        <f>-55+-30</f>
        <v>-85</v>
      </c>
      <c r="AA20" s="30">
        <v>-195</v>
      </c>
      <c r="AB20" s="30"/>
      <c r="AC20" s="30"/>
      <c r="AD20" s="30">
        <v>-55</v>
      </c>
      <c r="AE20" s="38"/>
      <c r="AF20" s="38"/>
      <c r="AG20" s="30"/>
      <c r="AH20" s="38"/>
      <c r="AI20" s="41">
        <f t="shared" si="0"/>
        <v>107.5</v>
      </c>
      <c r="AJ20" s="34"/>
      <c r="AK20" s="34"/>
      <c r="AL20" s="34"/>
    </row>
    <row r="21" spans="1:38" x14ac:dyDescent="0.25">
      <c r="B21" s="21" t="s">
        <v>52</v>
      </c>
      <c r="C21" s="31" t="s">
        <v>53</v>
      </c>
      <c r="D21" s="6"/>
      <c r="E21" s="7"/>
      <c r="F21" s="14">
        <f>'Jan 2026'!AL21</f>
        <v>0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8"/>
      <c r="W21" s="30"/>
      <c r="X21" s="30"/>
      <c r="Y21" s="30"/>
      <c r="Z21" s="30"/>
      <c r="AA21" s="30"/>
      <c r="AB21" s="30"/>
      <c r="AC21" s="30"/>
      <c r="AD21" s="38"/>
      <c r="AE21" s="38"/>
      <c r="AF21" s="38"/>
      <c r="AG21" s="30"/>
      <c r="AH21" s="38"/>
      <c r="AI21" s="41">
        <f t="shared" si="0"/>
        <v>0</v>
      </c>
      <c r="AJ21" s="34"/>
      <c r="AK21" s="34"/>
      <c r="AL21" s="34"/>
    </row>
    <row r="22" spans="1:38" x14ac:dyDescent="0.25">
      <c r="A22" s="35" t="s">
        <v>90</v>
      </c>
      <c r="B22" s="21" t="s">
        <v>54</v>
      </c>
      <c r="C22" s="21" t="s">
        <v>55</v>
      </c>
      <c r="D22" s="6"/>
      <c r="E22" s="7"/>
      <c r="F22" s="14">
        <f>'Jan 2026'!AL22</f>
        <v>52</v>
      </c>
      <c r="G22" s="30"/>
      <c r="H22" s="30"/>
      <c r="I22" s="30"/>
      <c r="J22" s="30"/>
      <c r="K22" s="30"/>
      <c r="L22" s="30"/>
      <c r="M22" s="30"/>
      <c r="N22" s="30"/>
      <c r="O22" s="30"/>
      <c r="P22" s="30"/>
      <c r="Q22" s="30"/>
      <c r="R22" s="30"/>
      <c r="S22" s="30"/>
      <c r="T22" s="30"/>
      <c r="U22" s="30"/>
      <c r="V22" s="30"/>
      <c r="W22" s="30"/>
      <c r="X22" s="30"/>
      <c r="Y22" s="30"/>
      <c r="Z22" s="30"/>
      <c r="AA22" s="30"/>
      <c r="AB22" s="30"/>
      <c r="AC22" s="30"/>
      <c r="AD22" s="38"/>
      <c r="AE22" s="38"/>
      <c r="AF22" s="38"/>
      <c r="AG22" s="30"/>
      <c r="AH22" s="38"/>
      <c r="AI22" s="41">
        <f t="shared" si="0"/>
        <v>52</v>
      </c>
      <c r="AJ22" s="34"/>
      <c r="AK22" s="34"/>
      <c r="AL22" s="34"/>
    </row>
    <row r="23" spans="1:38" x14ac:dyDescent="0.25">
      <c r="B23" s="21" t="s">
        <v>56</v>
      </c>
      <c r="C23" s="21" t="s">
        <v>57</v>
      </c>
      <c r="D23" s="6"/>
      <c r="E23" s="7"/>
      <c r="F23" s="14">
        <f>'Jan 2026'!AL23</f>
        <v>0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8"/>
      <c r="W23" s="30"/>
      <c r="X23" s="30"/>
      <c r="Y23" s="30"/>
      <c r="Z23" s="30"/>
      <c r="AA23" s="30"/>
      <c r="AB23" s="30"/>
      <c r="AC23" s="38"/>
      <c r="AD23" s="38"/>
      <c r="AE23" s="38"/>
      <c r="AF23" s="38"/>
      <c r="AG23" s="38"/>
      <c r="AH23" s="38"/>
      <c r="AI23" s="41">
        <f t="shared" si="0"/>
        <v>0</v>
      </c>
      <c r="AJ23" s="34"/>
      <c r="AK23" s="34"/>
      <c r="AL23" s="34"/>
    </row>
    <row r="24" spans="1:38" x14ac:dyDescent="0.25">
      <c r="B24" s="21" t="s">
        <v>58</v>
      </c>
      <c r="C24" s="21" t="s">
        <v>59</v>
      </c>
      <c r="D24" s="6"/>
      <c r="E24" s="7"/>
      <c r="F24" s="14">
        <f>'Jan 2026'!AL24</f>
        <v>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8"/>
      <c r="W24" s="30"/>
      <c r="X24" s="30"/>
      <c r="Y24" s="30"/>
      <c r="Z24" s="30"/>
      <c r="AA24" s="30"/>
      <c r="AB24" s="30"/>
      <c r="AC24" s="38"/>
      <c r="AD24" s="38"/>
      <c r="AE24" s="38"/>
      <c r="AF24" s="38"/>
      <c r="AG24" s="38"/>
      <c r="AH24" s="38"/>
      <c r="AI24" s="41">
        <f t="shared" si="0"/>
        <v>0</v>
      </c>
      <c r="AJ24" s="34"/>
      <c r="AK24" s="34"/>
      <c r="AL24" s="34"/>
    </row>
    <row r="25" spans="1:38" x14ac:dyDescent="0.25">
      <c r="A25" s="35" t="s">
        <v>31</v>
      </c>
      <c r="B25" s="21" t="s">
        <v>60</v>
      </c>
      <c r="C25" s="21" t="s">
        <v>61</v>
      </c>
      <c r="D25" s="6"/>
      <c r="E25" s="7"/>
      <c r="F25" s="14">
        <f>'Jan 2026'!AL25</f>
        <v>107</v>
      </c>
      <c r="G25" s="30"/>
      <c r="H25" s="30"/>
      <c r="I25" s="30">
        <v>-1</v>
      </c>
      <c r="J25" s="30"/>
      <c r="K25" s="30"/>
      <c r="L25" s="30"/>
      <c r="M25" s="30"/>
      <c r="N25" s="30"/>
      <c r="O25" s="30"/>
      <c r="P25" s="30">
        <v>-6</v>
      </c>
      <c r="Q25" s="30"/>
      <c r="R25" s="30"/>
      <c r="S25" s="30"/>
      <c r="T25" s="30"/>
      <c r="U25" s="30"/>
      <c r="V25" s="38"/>
      <c r="W25" s="38"/>
      <c r="X25" s="38"/>
      <c r="Y25" s="38"/>
      <c r="Z25" s="38"/>
      <c r="AA25" s="38"/>
      <c r="AB25" s="30"/>
      <c r="AC25" s="30">
        <v>-22</v>
      </c>
      <c r="AD25" s="38"/>
      <c r="AE25" s="38"/>
      <c r="AF25" s="38"/>
      <c r="AG25" s="38"/>
      <c r="AH25" s="38"/>
      <c r="AI25" s="41">
        <f t="shared" si="0"/>
        <v>78</v>
      </c>
      <c r="AJ25" s="34"/>
      <c r="AK25" s="34"/>
      <c r="AL25" s="34"/>
    </row>
    <row r="26" spans="1:38" x14ac:dyDescent="0.25">
      <c r="A26" s="35" t="s">
        <v>92</v>
      </c>
      <c r="B26" s="21" t="s">
        <v>62</v>
      </c>
      <c r="C26" s="21" t="s">
        <v>63</v>
      </c>
      <c r="D26" s="6"/>
      <c r="E26" s="7"/>
      <c r="F26" s="14">
        <f>'Jan 2026'!AL26</f>
        <v>3</v>
      </c>
      <c r="G26" s="30"/>
      <c r="H26" s="30"/>
      <c r="I26" s="30">
        <v>-2</v>
      </c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8"/>
      <c r="W26" s="38"/>
      <c r="X26" s="38"/>
      <c r="Y26" s="38"/>
      <c r="Z26" s="38"/>
      <c r="AA26" s="38"/>
      <c r="AB26" s="30"/>
      <c r="AC26" s="38"/>
      <c r="AD26" s="38"/>
      <c r="AE26" s="38"/>
      <c r="AF26" s="38"/>
      <c r="AG26" s="38"/>
      <c r="AH26" s="38"/>
      <c r="AI26" s="41">
        <f t="shared" si="0"/>
        <v>1</v>
      </c>
      <c r="AJ26" s="34"/>
      <c r="AK26" s="34"/>
      <c r="AL26" s="34"/>
    </row>
    <row r="27" spans="1:38" x14ac:dyDescent="0.25">
      <c r="A27" s="35" t="s">
        <v>92</v>
      </c>
      <c r="B27" s="21" t="s">
        <v>64</v>
      </c>
      <c r="C27" s="31" t="s">
        <v>65</v>
      </c>
      <c r="D27" s="6"/>
      <c r="E27" s="7"/>
      <c r="F27" s="14">
        <f>'Jan 2026'!AL27</f>
        <v>0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8"/>
      <c r="W27" s="38"/>
      <c r="X27" s="38"/>
      <c r="Y27" s="38"/>
      <c r="Z27" s="38"/>
      <c r="AA27" s="38"/>
      <c r="AB27" s="30"/>
      <c r="AC27" s="38"/>
      <c r="AD27" s="38"/>
      <c r="AE27" s="38"/>
      <c r="AF27" s="38"/>
      <c r="AG27" s="38"/>
      <c r="AH27" s="38"/>
      <c r="AI27" s="41">
        <f t="shared" si="0"/>
        <v>0</v>
      </c>
      <c r="AJ27" s="34"/>
      <c r="AK27" s="34"/>
      <c r="AL27" s="34"/>
    </row>
    <row r="28" spans="1:38" x14ac:dyDescent="0.25">
      <c r="B28" s="21" t="s">
        <v>66</v>
      </c>
      <c r="C28" s="31" t="s">
        <v>67</v>
      </c>
      <c r="D28" s="6"/>
      <c r="E28" s="7"/>
      <c r="F28" s="14">
        <f>'Jan 2026'!AL28</f>
        <v>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8"/>
      <c r="W28" s="38"/>
      <c r="X28" s="38"/>
      <c r="Y28" s="38"/>
      <c r="Z28" s="38"/>
      <c r="AA28" s="38"/>
      <c r="AB28" s="30"/>
      <c r="AC28" s="38"/>
      <c r="AD28" s="38"/>
      <c r="AE28" s="38"/>
      <c r="AF28" s="38"/>
      <c r="AG28" s="38"/>
      <c r="AH28" s="38"/>
      <c r="AI28" s="41">
        <f t="shared" si="0"/>
        <v>0</v>
      </c>
      <c r="AJ28" s="34"/>
      <c r="AK28" s="34"/>
      <c r="AL28" s="34"/>
    </row>
    <row r="29" spans="1:38" x14ac:dyDescent="0.25">
      <c r="A29" s="35" t="s">
        <v>31</v>
      </c>
      <c r="B29" s="21" t="s">
        <v>68</v>
      </c>
      <c r="C29" s="31" t="s">
        <v>69</v>
      </c>
      <c r="D29" s="6"/>
      <c r="E29" s="7"/>
      <c r="F29" s="14">
        <f>'Jan 2026'!AL29</f>
        <v>13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8"/>
      <c r="W29" s="38"/>
      <c r="X29" s="38"/>
      <c r="Y29" s="38"/>
      <c r="Z29" s="38"/>
      <c r="AA29" s="38"/>
      <c r="AB29" s="30"/>
      <c r="AC29" s="38"/>
      <c r="AD29" s="38"/>
      <c r="AE29" s="38"/>
      <c r="AF29" s="38"/>
      <c r="AG29" s="38"/>
      <c r="AH29" s="38"/>
      <c r="AI29" s="41">
        <f t="shared" si="0"/>
        <v>13</v>
      </c>
      <c r="AJ29" s="34"/>
      <c r="AK29" s="34"/>
      <c r="AL29" s="34"/>
    </row>
    <row r="30" spans="1:38" x14ac:dyDescent="0.25">
      <c r="B30" s="21" t="s">
        <v>70</v>
      </c>
      <c r="C30" s="31" t="s">
        <v>71</v>
      </c>
      <c r="D30" s="6"/>
      <c r="E30" s="7"/>
      <c r="F30" s="14">
        <f>'Jan 2026'!AL30</f>
        <v>1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8"/>
      <c r="W30" s="38"/>
      <c r="X30" s="38"/>
      <c r="Y30" s="38"/>
      <c r="Z30" s="38"/>
      <c r="AA30" s="38"/>
      <c r="AB30" s="30"/>
      <c r="AC30" s="38"/>
      <c r="AD30" s="38"/>
      <c r="AE30" s="38"/>
      <c r="AF30" s="38"/>
      <c r="AG30" s="38"/>
      <c r="AH30" s="38"/>
      <c r="AI30" s="41">
        <f t="shared" si="0"/>
        <v>1</v>
      </c>
      <c r="AJ30" s="34"/>
      <c r="AK30" s="34"/>
      <c r="AL30" s="34"/>
    </row>
    <row r="31" spans="1:38" x14ac:dyDescent="0.25">
      <c r="A31" s="35" t="s">
        <v>93</v>
      </c>
      <c r="B31" s="21" t="s">
        <v>72</v>
      </c>
      <c r="C31" s="31" t="s">
        <v>73</v>
      </c>
      <c r="D31" s="6"/>
      <c r="E31" s="7"/>
      <c r="F31" s="14">
        <f>'Jan 2026'!AL31</f>
        <v>627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8"/>
      <c r="W31" s="38"/>
      <c r="X31" s="38"/>
      <c r="Y31" s="38"/>
      <c r="Z31" s="38"/>
      <c r="AA31" s="38"/>
      <c r="AB31" s="30"/>
      <c r="AC31" s="38"/>
      <c r="AD31" s="38"/>
      <c r="AE31" s="38"/>
      <c r="AF31" s="38"/>
      <c r="AG31" s="38"/>
      <c r="AH31" s="38"/>
      <c r="AI31" s="41">
        <f t="shared" si="0"/>
        <v>627</v>
      </c>
      <c r="AJ31" s="34"/>
      <c r="AK31" s="34"/>
      <c r="AL31" s="34"/>
    </row>
    <row r="32" spans="1:38" x14ac:dyDescent="0.25">
      <c r="B32" s="21" t="s">
        <v>74</v>
      </c>
      <c r="C32" s="31" t="s">
        <v>75</v>
      </c>
      <c r="D32" s="6"/>
      <c r="E32" s="7"/>
      <c r="F32" s="14">
        <f>'Jan 2026'!AL32</f>
        <v>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8"/>
      <c r="W32" s="38"/>
      <c r="X32" s="38"/>
      <c r="Y32" s="38"/>
      <c r="Z32" s="38"/>
      <c r="AA32" s="38"/>
      <c r="AB32" s="30"/>
      <c r="AC32" s="38"/>
      <c r="AD32" s="38"/>
      <c r="AE32" s="38"/>
      <c r="AF32" s="38"/>
      <c r="AG32" s="38"/>
      <c r="AH32" s="38"/>
      <c r="AI32" s="41">
        <f t="shared" si="0"/>
        <v>0</v>
      </c>
      <c r="AJ32" s="34"/>
      <c r="AK32" s="34"/>
      <c r="AL32" s="34"/>
    </row>
    <row r="33" spans="1:38" x14ac:dyDescent="0.25">
      <c r="A33" s="35" t="s">
        <v>93</v>
      </c>
      <c r="B33" s="21" t="s">
        <v>76</v>
      </c>
      <c r="C33" s="21" t="s">
        <v>77</v>
      </c>
      <c r="D33" s="6"/>
      <c r="E33" s="7"/>
      <c r="F33" s="14">
        <f>'Jan 2026'!AL33</f>
        <v>17</v>
      </c>
      <c r="G33" s="30"/>
      <c r="H33" s="30"/>
      <c r="I33" s="30"/>
      <c r="J33" s="30">
        <v>-4</v>
      </c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8"/>
      <c r="X33" s="38"/>
      <c r="Y33" s="38"/>
      <c r="Z33" s="38"/>
      <c r="AA33" s="38"/>
      <c r="AB33" s="30"/>
      <c r="AC33" s="38"/>
      <c r="AD33" s="38"/>
      <c r="AE33" s="38"/>
      <c r="AF33" s="38"/>
      <c r="AG33" s="38"/>
      <c r="AH33" s="38"/>
      <c r="AI33" s="41">
        <f t="shared" si="0"/>
        <v>13</v>
      </c>
      <c r="AJ33" s="34"/>
      <c r="AK33" s="34"/>
      <c r="AL33" s="34"/>
    </row>
    <row r="34" spans="1:38" x14ac:dyDescent="0.25">
      <c r="A34" s="35" t="s">
        <v>93</v>
      </c>
      <c r="B34" s="21" t="s">
        <v>78</v>
      </c>
      <c r="C34" s="31" t="s">
        <v>79</v>
      </c>
      <c r="D34" s="6"/>
      <c r="E34" s="7"/>
      <c r="F34" s="14">
        <f>'Jan 2026'!AL34</f>
        <v>2</v>
      </c>
      <c r="G34" s="30"/>
      <c r="H34" s="30"/>
      <c r="I34" s="30"/>
      <c r="J34" s="30">
        <v>-2</v>
      </c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8"/>
      <c r="X34" s="38"/>
      <c r="Y34" s="38"/>
      <c r="Z34" s="38"/>
      <c r="AA34" s="38"/>
      <c r="AB34" s="30"/>
      <c r="AC34" s="38"/>
      <c r="AD34" s="38"/>
      <c r="AE34" s="38"/>
      <c r="AF34" s="38"/>
      <c r="AG34" s="38"/>
      <c r="AH34" s="38"/>
      <c r="AI34" s="41">
        <f t="shared" si="0"/>
        <v>0</v>
      </c>
      <c r="AJ34" s="34"/>
      <c r="AK34" s="34"/>
      <c r="AL34" s="34"/>
    </row>
    <row r="35" spans="1:38" x14ac:dyDescent="0.25">
      <c r="A35" s="35" t="s">
        <v>90</v>
      </c>
      <c r="B35" s="21" t="s">
        <v>80</v>
      </c>
      <c r="C35" s="21" t="s">
        <v>81</v>
      </c>
      <c r="D35" s="6"/>
      <c r="E35" s="7"/>
      <c r="F35" s="14">
        <f>'Jan 2026'!AL35</f>
        <v>51</v>
      </c>
      <c r="G35" s="30"/>
      <c r="H35" s="30"/>
      <c r="I35" s="30"/>
      <c r="J35" s="30"/>
      <c r="K35" s="30"/>
      <c r="L35" s="30"/>
      <c r="M35" s="30"/>
      <c r="N35" s="30"/>
      <c r="O35" s="30"/>
      <c r="P35" s="30"/>
      <c r="Q35" s="30"/>
      <c r="R35" s="30"/>
      <c r="S35" s="30"/>
      <c r="T35" s="30"/>
      <c r="U35" s="30"/>
      <c r="V35" s="30"/>
      <c r="W35" s="30"/>
      <c r="X35" s="38"/>
      <c r="Y35" s="38"/>
      <c r="Z35" s="38"/>
      <c r="AA35" s="30"/>
      <c r="AB35" s="30"/>
      <c r="AC35" s="30"/>
      <c r="AD35" s="38"/>
      <c r="AE35" s="38"/>
      <c r="AF35" s="38"/>
      <c r="AG35" s="38"/>
      <c r="AH35" s="38"/>
      <c r="AI35" s="41">
        <f t="shared" si="0"/>
        <v>51</v>
      </c>
      <c r="AJ35" s="34"/>
      <c r="AK35" s="34"/>
      <c r="AL35" s="34"/>
    </row>
    <row r="36" spans="1:38" x14ac:dyDescent="0.25">
      <c r="A36" s="35" t="s">
        <v>93</v>
      </c>
      <c r="B36" s="21" t="s">
        <v>82</v>
      </c>
      <c r="C36" s="21" t="s">
        <v>83</v>
      </c>
      <c r="D36" s="6"/>
      <c r="E36" s="7"/>
      <c r="F36" s="14">
        <f>'Jan 2026'!AL36</f>
        <v>0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8"/>
      <c r="X36" s="38"/>
      <c r="Y36" s="38"/>
      <c r="Z36" s="38"/>
      <c r="AA36" s="38"/>
      <c r="AB36" s="30"/>
      <c r="AC36" s="38"/>
      <c r="AD36" s="38"/>
      <c r="AE36" s="38"/>
      <c r="AF36" s="38"/>
      <c r="AG36" s="38"/>
      <c r="AH36" s="38"/>
      <c r="AI36" s="41">
        <f t="shared" si="0"/>
        <v>0</v>
      </c>
      <c r="AJ36" s="34"/>
      <c r="AK36" s="34"/>
      <c r="AL36" s="34"/>
    </row>
    <row r="37" spans="1:38" x14ac:dyDescent="0.25">
      <c r="A37" s="35" t="s">
        <v>94</v>
      </c>
      <c r="B37" s="21" t="s">
        <v>84</v>
      </c>
      <c r="C37" s="21" t="s">
        <v>85</v>
      </c>
      <c r="D37" s="6"/>
      <c r="E37" s="7"/>
      <c r="F37" s="14">
        <f>'Jan 2026'!AL37</f>
        <v>116</v>
      </c>
      <c r="G37" s="30"/>
      <c r="H37" s="36">
        <v>100</v>
      </c>
      <c r="I37" s="30"/>
      <c r="J37" s="30"/>
      <c r="K37" s="30"/>
      <c r="L37" s="30"/>
      <c r="M37" s="30"/>
      <c r="N37" s="30"/>
      <c r="O37" s="30">
        <v>-2</v>
      </c>
      <c r="P37" s="30"/>
      <c r="Q37" s="30"/>
      <c r="R37" s="30"/>
      <c r="S37" s="30"/>
      <c r="T37" s="30"/>
      <c r="U37" s="30"/>
      <c r="V37" s="30"/>
      <c r="W37" s="30"/>
      <c r="X37" s="38"/>
      <c r="Y37" s="38"/>
      <c r="Z37" s="38"/>
      <c r="AA37" s="30"/>
      <c r="AB37" s="30"/>
      <c r="AC37" s="30"/>
      <c r="AD37" s="38"/>
      <c r="AE37" s="38"/>
      <c r="AF37" s="38"/>
      <c r="AG37" s="38"/>
      <c r="AH37" s="38"/>
      <c r="AI37" s="41">
        <f t="shared" si="0"/>
        <v>214</v>
      </c>
      <c r="AJ37" s="34"/>
      <c r="AK37" s="34"/>
      <c r="AL37" s="34"/>
    </row>
    <row r="38" spans="1:38" x14ac:dyDescent="0.25">
      <c r="B38" s="21" t="s">
        <v>86</v>
      </c>
      <c r="C38" s="21" t="s">
        <v>87</v>
      </c>
      <c r="D38" s="6"/>
      <c r="E38" s="7"/>
      <c r="F38" s="14">
        <f>'Jan 2026'!AL38</f>
        <v>29.38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8"/>
      <c r="W38" s="38"/>
      <c r="X38" s="38"/>
      <c r="Y38" s="38"/>
      <c r="Z38" s="38"/>
      <c r="AA38" s="38"/>
      <c r="AB38" s="30"/>
      <c r="AC38" s="38"/>
      <c r="AD38" s="38"/>
      <c r="AE38" s="38"/>
      <c r="AF38" s="38"/>
      <c r="AG38" s="38"/>
      <c r="AH38" s="38"/>
      <c r="AI38" s="41">
        <f t="shared" si="0"/>
        <v>29.38</v>
      </c>
      <c r="AJ38" s="34"/>
      <c r="AK38" s="34"/>
      <c r="AL38" s="34"/>
    </row>
    <row r="39" spans="1:38" x14ac:dyDescent="0.25">
      <c r="A39" s="35" t="s">
        <v>92</v>
      </c>
      <c r="C39" s="35" t="s">
        <v>88</v>
      </c>
      <c r="D39" s="6"/>
      <c r="E39" s="7"/>
      <c r="F39" s="14">
        <f>'Jan 2026'!AL39</f>
        <v>0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8"/>
      <c r="W39" s="38"/>
      <c r="X39" s="38"/>
      <c r="Y39" s="38"/>
      <c r="Z39" s="38"/>
      <c r="AA39" s="38"/>
      <c r="AB39" s="30"/>
      <c r="AC39" s="38"/>
      <c r="AD39" s="38"/>
      <c r="AE39" s="38"/>
      <c r="AF39" s="38"/>
      <c r="AG39" s="38"/>
      <c r="AH39" s="38"/>
      <c r="AI39" s="41">
        <f t="shared" si="0"/>
        <v>0</v>
      </c>
      <c r="AJ39" s="34"/>
      <c r="AK39" s="34"/>
      <c r="AL39" s="34"/>
    </row>
    <row r="40" spans="1:38" x14ac:dyDescent="0.25">
      <c r="A40" s="35" t="s">
        <v>31</v>
      </c>
      <c r="C40" s="35" t="s">
        <v>89</v>
      </c>
      <c r="D40" s="6"/>
      <c r="E40" s="7"/>
      <c r="F40" s="14"/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8"/>
      <c r="W40" s="38"/>
      <c r="X40" s="38"/>
      <c r="Y40" s="38"/>
      <c r="Z40" s="38"/>
      <c r="AA40" s="38"/>
      <c r="AB40" s="30"/>
      <c r="AC40" s="38"/>
      <c r="AD40" s="38"/>
      <c r="AE40" s="38"/>
      <c r="AF40" s="38"/>
      <c r="AG40" s="38"/>
      <c r="AH40" s="38"/>
      <c r="AI40" s="41">
        <f t="shared" si="0"/>
        <v>0</v>
      </c>
      <c r="AJ40" s="34"/>
      <c r="AK40" s="34"/>
      <c r="AL40" s="34"/>
    </row>
    <row r="41" spans="1:38" x14ac:dyDescent="0.25">
      <c r="B41" s="21"/>
      <c r="C41" s="21"/>
      <c r="D41" s="12"/>
      <c r="E41" s="3"/>
      <c r="F41" s="4"/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41">
        <f t="shared" si="0"/>
        <v>0</v>
      </c>
    </row>
    <row r="42" spans="1:38" x14ac:dyDescent="0.25">
      <c r="B42" s="21"/>
      <c r="C42" s="21"/>
      <c r="D42" s="12"/>
      <c r="E42" s="3"/>
      <c r="F42" s="4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41">
        <f t="shared" si="0"/>
        <v>0</v>
      </c>
    </row>
    <row r="43" spans="1:38" x14ac:dyDescent="0.25">
      <c r="B43" s="21"/>
      <c r="C43" s="21"/>
      <c r="D43" s="12"/>
      <c r="E43" s="3"/>
      <c r="F43" s="4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41">
        <f t="shared" si="0"/>
        <v>0</v>
      </c>
    </row>
    <row r="44" spans="1:38" x14ac:dyDescent="0.25">
      <c r="B44" s="21"/>
      <c r="C44" s="21"/>
      <c r="D44" s="12"/>
      <c r="E44" s="3"/>
      <c r="F44" s="4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41">
        <f t="shared" si="0"/>
        <v>0</v>
      </c>
    </row>
    <row r="45" spans="1:38" x14ac:dyDescent="0.25">
      <c r="B45" s="21"/>
      <c r="C45" s="21"/>
      <c r="D45" s="12"/>
      <c r="E45" s="3"/>
      <c r="F45" s="4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41">
        <f t="shared" si="0"/>
        <v>0</v>
      </c>
    </row>
    <row r="46" spans="1:38" x14ac:dyDescent="0.25">
      <c r="A46" s="32"/>
      <c r="B46" s="21"/>
      <c r="C46" s="21"/>
      <c r="D46" s="12"/>
      <c r="E46" s="3"/>
      <c r="F46" s="4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3">
        <f t="shared" si="0"/>
        <v>0</v>
      </c>
    </row>
    <row r="47" spans="1:38" x14ac:dyDescent="0.25">
      <c r="A47" s="32"/>
      <c r="B47" s="21"/>
      <c r="C47" s="21"/>
      <c r="D47" s="12"/>
      <c r="E47" s="3"/>
      <c r="F47" s="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33">
        <f t="shared" si="0"/>
        <v>0</v>
      </c>
    </row>
    <row r="48" spans="1:38" x14ac:dyDescent="0.25">
      <c r="A48" s="32"/>
      <c r="B48" s="21"/>
      <c r="C48" s="21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26">
        <f>SUM(G48:AH48)+F48</f>
        <v>0</v>
      </c>
    </row>
    <row r="49" spans="1:38" x14ac:dyDescent="0.25">
      <c r="A49" s="32"/>
      <c r="B49" s="21"/>
      <c r="C49" s="21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26">
        <f>SUM(G49:AH49)+F49</f>
        <v>0</v>
      </c>
    </row>
    <row r="50" spans="1:38" x14ac:dyDescent="0.25">
      <c r="A50" s="32"/>
      <c r="B50" s="21"/>
      <c r="C50" s="21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26">
        <f>SUM(G50:AH50)+F50</f>
        <v>0</v>
      </c>
    </row>
    <row r="51" spans="1:38" x14ac:dyDescent="0.25">
      <c r="A51" s="32"/>
      <c r="B51" s="21"/>
      <c r="C51" s="21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26">
        <f>SUM(G51:AH51)+F51</f>
        <v>0</v>
      </c>
    </row>
    <row r="52" spans="1:38" x14ac:dyDescent="0.25">
      <c r="A52" s="32"/>
      <c r="B52" s="21"/>
      <c r="C52" s="2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26">
        <f>F52+SUM(G52:AH52)</f>
        <v>0</v>
      </c>
    </row>
    <row r="53" spans="1:38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26">
        <f>F53+SUM(G53:AH53)</f>
        <v>0</v>
      </c>
    </row>
    <row r="54" spans="1:38" x14ac:dyDescent="0.25">
      <c r="A54" s="3"/>
      <c r="B54" s="29"/>
      <c r="C54" s="29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12"/>
      <c r="AC54" s="3"/>
      <c r="AD54" s="3"/>
      <c r="AE54" s="3"/>
      <c r="AF54" s="3"/>
      <c r="AG54" s="3"/>
      <c r="AH54" s="3"/>
      <c r="AI54" s="1"/>
      <c r="AJ54" s="1"/>
      <c r="AK54" s="1"/>
      <c r="AL54" s="1"/>
    </row>
    <row r="55" spans="1:38" x14ac:dyDescent="0.25">
      <c r="A55" s="3"/>
      <c r="B55" s="29"/>
      <c r="C55" s="29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12"/>
      <c r="AC55" s="3"/>
      <c r="AD55" s="3"/>
      <c r="AE55" s="3"/>
      <c r="AF55" s="3"/>
      <c r="AG55" s="3"/>
      <c r="AH55" s="3"/>
      <c r="AI55" s="1"/>
      <c r="AJ55" s="1"/>
      <c r="AK55" s="1"/>
      <c r="AL55" s="1"/>
    </row>
    <row r="56" spans="1:38" ht="32.25" thickBot="1" x14ac:dyDescent="0.3">
      <c r="A56" s="1"/>
      <c r="B56" s="8" t="s">
        <v>21</v>
      </c>
      <c r="C56" s="20"/>
      <c r="D56" s="20"/>
      <c r="E56" s="10" t="s">
        <v>22</v>
      </c>
      <c r="F56" s="23" t="s">
        <v>23</v>
      </c>
      <c r="G56" s="27" t="s">
        <v>24</v>
      </c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2"/>
      <c r="AC56" s="1"/>
      <c r="AD56" s="1"/>
      <c r="AE56" s="1"/>
      <c r="AF56" s="1"/>
      <c r="AG56" s="1"/>
      <c r="AH56" s="1"/>
      <c r="AI56" s="1"/>
      <c r="AJ56" s="1"/>
      <c r="AK56" s="1"/>
      <c r="AL56" s="1"/>
    </row>
    <row r="57" spans="1:38" ht="16.5" thickBot="1" x14ac:dyDescent="0.3">
      <c r="A57" s="1"/>
      <c r="B57" s="8" t="s">
        <v>25</v>
      </c>
      <c r="C57" s="20"/>
      <c r="D57" s="20"/>
      <c r="E57" s="9"/>
      <c r="F57" s="22"/>
      <c r="G57" s="59"/>
      <c r="H57" s="6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2"/>
      <c r="AC57" s="1"/>
      <c r="AD57" s="1"/>
      <c r="AE57" s="1"/>
      <c r="AF57" s="1"/>
      <c r="AG57" s="1"/>
      <c r="AH57" s="1"/>
      <c r="AI57" s="1"/>
      <c r="AJ57" s="1"/>
      <c r="AK57" s="1"/>
      <c r="AL57" s="1"/>
    </row>
    <row r="58" spans="1:38" ht="32.25" thickBot="1" x14ac:dyDescent="0.3">
      <c r="A58" s="1"/>
      <c r="B58" s="8" t="s">
        <v>26</v>
      </c>
      <c r="C58" s="20"/>
      <c r="D58" s="20"/>
      <c r="E58" s="10"/>
      <c r="F58" s="23"/>
      <c r="G58" s="61"/>
      <c r="H58" s="6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2"/>
      <c r="AC58" s="1"/>
      <c r="AD58" s="1"/>
      <c r="AE58" s="1"/>
      <c r="AF58" s="1"/>
      <c r="AG58" s="1"/>
      <c r="AH58" s="1"/>
      <c r="AI58" s="1"/>
      <c r="AJ58" s="1"/>
      <c r="AK58" s="1"/>
      <c r="AL58" s="1"/>
    </row>
    <row r="59" spans="1:38" ht="16.5" thickBot="1" x14ac:dyDescent="0.3">
      <c r="A59" s="1"/>
      <c r="B59" s="8" t="s">
        <v>27</v>
      </c>
      <c r="C59" s="20"/>
      <c r="D59" s="20"/>
      <c r="E59" s="11"/>
      <c r="F59" s="24"/>
      <c r="G59" s="63"/>
      <c r="H59" s="6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</row>
    <row r="60" spans="1:38" ht="15.75" x14ac:dyDescent="0.25">
      <c r="A60" s="1"/>
      <c r="B60" s="65" t="s">
        <v>28</v>
      </c>
      <c r="C60" s="18"/>
      <c r="D60" s="18"/>
      <c r="E60" s="68"/>
      <c r="F60" s="71"/>
      <c r="G60" s="74"/>
      <c r="H60" s="7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</row>
    <row r="61" spans="1:38" ht="15.75" x14ac:dyDescent="0.25">
      <c r="A61" s="1"/>
      <c r="B61" s="66"/>
      <c r="C61" s="19"/>
      <c r="D61" s="19"/>
      <c r="E61" s="69"/>
      <c r="F61" s="72"/>
      <c r="G61" s="74"/>
      <c r="H61" s="7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</row>
    <row r="62" spans="1:38" ht="16.5" thickBot="1" x14ac:dyDescent="0.3">
      <c r="A62" s="1"/>
      <c r="B62" s="67"/>
      <c r="C62" s="8"/>
      <c r="D62" s="8"/>
      <c r="E62" s="70"/>
      <c r="F62" s="73"/>
      <c r="G62" s="76"/>
      <c r="H62" s="7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</row>
    <row r="63" spans="1:38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</row>
    <row r="64" spans="1:38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</row>
    <row r="65" spans="1:33" x14ac:dyDescent="0.25">
      <c r="A65" s="1"/>
      <c r="B65" s="2"/>
      <c r="C65" s="2"/>
      <c r="D65" s="2"/>
      <c r="E65" s="1"/>
      <c r="F65" s="1"/>
      <c r="G65" s="1"/>
      <c r="H65" s="1"/>
      <c r="I65" s="1"/>
      <c r="J65" s="1"/>
      <c r="K65" s="1"/>
      <c r="L65" s="1"/>
      <c r="M65" s="1"/>
      <c r="N65" s="1"/>
      <c r="O65" s="1"/>
      <c r="P65" s="1"/>
      <c r="Q65" s="1"/>
      <c r="R65" s="1"/>
      <c r="S65" s="1"/>
      <c r="T65" s="1"/>
      <c r="U65" s="1"/>
      <c r="V65" s="1"/>
      <c r="W65" s="1"/>
      <c r="X65" s="1"/>
      <c r="Y65" s="1"/>
      <c r="Z65" s="1"/>
      <c r="AA65" s="1"/>
      <c r="AB65" s="1"/>
      <c r="AC65" s="1"/>
      <c r="AD65" s="1"/>
      <c r="AE65" s="1"/>
      <c r="AF65" s="1"/>
      <c r="AG65" s="1"/>
    </row>
    <row r="66" spans="1:33" x14ac:dyDescent="0.25">
      <c r="A66" s="1"/>
      <c r="B66" s="2"/>
      <c r="C66" s="2"/>
      <c r="D66" s="2"/>
      <c r="E66" s="1"/>
      <c r="F66" s="1"/>
      <c r="G66" s="1"/>
      <c r="H66" s="1"/>
      <c r="I66" s="1"/>
      <c r="J66" s="1"/>
      <c r="K66" s="1"/>
      <c r="L66" s="1"/>
      <c r="M66" s="1"/>
      <c r="N66" s="1"/>
      <c r="O66" s="1"/>
      <c r="P66" s="1"/>
      <c r="Q66" s="1"/>
      <c r="R66" s="1"/>
      <c r="S66" s="1"/>
      <c r="T66" s="1"/>
      <c r="U66" s="1"/>
      <c r="V66" s="1"/>
      <c r="W66" s="1"/>
      <c r="X66" s="1"/>
      <c r="Y66" s="1"/>
      <c r="Z66" s="1"/>
      <c r="AA66" s="1"/>
      <c r="AB66" s="1"/>
      <c r="AC66" s="1"/>
      <c r="AD66" s="1"/>
      <c r="AE66" s="1"/>
      <c r="AF66" s="1"/>
      <c r="AG66" s="1"/>
    </row>
    <row r="67" spans="1:33" x14ac:dyDescent="0.25">
      <c r="A67" s="1"/>
      <c r="B67" s="2"/>
      <c r="C67" s="2"/>
      <c r="D67" s="2"/>
      <c r="E67" s="1"/>
      <c r="F67" s="1"/>
      <c r="G67" s="1"/>
      <c r="H67" s="1"/>
      <c r="I67" s="1"/>
      <c r="J67" s="1"/>
      <c r="K67" s="1"/>
      <c r="L67" s="1"/>
      <c r="M67" s="1"/>
      <c r="N67" s="1"/>
      <c r="O67" s="1"/>
      <c r="P67" s="1"/>
      <c r="Q67" s="1"/>
      <c r="R67" s="1"/>
      <c r="S67" s="1"/>
      <c r="T67" s="1"/>
      <c r="U67" s="1"/>
      <c r="V67" s="1"/>
      <c r="W67" s="1"/>
      <c r="X67" s="1"/>
      <c r="Y67" s="1"/>
      <c r="Z67" s="1"/>
      <c r="AA67" s="1"/>
      <c r="AB67" s="1"/>
      <c r="AC67" s="1"/>
      <c r="AD67" s="1"/>
      <c r="AE67" s="1"/>
      <c r="AF67" s="1"/>
      <c r="AG67" s="1"/>
    </row>
    <row r="68" spans="1:33" x14ac:dyDescent="0.25">
      <c r="A68" s="1"/>
      <c r="B68" s="2"/>
      <c r="C68" s="2"/>
      <c r="D68" s="2"/>
      <c r="E68" s="1"/>
      <c r="F68" s="1"/>
      <c r="G68" s="1"/>
      <c r="H68" s="1"/>
      <c r="I68" s="1"/>
      <c r="J68" s="1"/>
      <c r="K68" s="1"/>
      <c r="L68" s="1"/>
      <c r="M68" s="1"/>
      <c r="N68" s="1"/>
      <c r="O68" s="1"/>
      <c r="P68" s="1"/>
      <c r="Q68" s="1"/>
      <c r="R68" s="1"/>
      <c r="S68" s="1"/>
      <c r="T68" s="1"/>
      <c r="U68" s="1"/>
      <c r="V68" s="1"/>
      <c r="W68" s="1"/>
      <c r="X68" s="1"/>
      <c r="Y68" s="1"/>
      <c r="Z68" s="1"/>
      <c r="AA68" s="1"/>
      <c r="AB68" s="1"/>
      <c r="AC68" s="1"/>
      <c r="AD68" s="1"/>
      <c r="AE68" s="1"/>
      <c r="AF68" s="1"/>
      <c r="AG68" s="1"/>
    </row>
  </sheetData>
  <mergeCells count="24">
    <mergeCell ref="G57:H57"/>
    <mergeCell ref="G58:H58"/>
    <mergeCell ref="G59:H59"/>
    <mergeCell ref="B60:B62"/>
    <mergeCell ref="E60:E62"/>
    <mergeCell ref="F60:F62"/>
    <mergeCell ref="G60:H6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I48:AI53">
    <cfRule type="cellIs" dxfId="8" priority="1" operator="greaterThan">
      <formula>#REF!</formula>
    </cfRule>
    <cfRule type="cellIs" dxfId="7" priority="2" operator="between">
      <formula>11</formula>
      <formula>50</formula>
    </cfRule>
    <cfRule type="cellIs" dxfId="6" priority="3" operator="lessThan">
      <formula>#REF!</formula>
    </cfRule>
  </conditionalFormatting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7B583B9-CC87-402C-A8C7-EF9FCEF5A049}">
  <sheetPr codeName="Sheet3"/>
  <dimension ref="A1:AQ62"/>
  <sheetViews>
    <sheetView workbookViewId="0">
      <pane xSplit="3" ySplit="10" topLeftCell="D16" activePane="bottomRight" state="frozen"/>
      <selection pane="topRight" activeCell="D1" sqref="D1"/>
      <selection pane="bottomLeft" activeCell="A11" sqref="A11"/>
      <selection pane="bottomRight" activeCell="V18" sqref="V18"/>
    </sheetView>
  </sheetViews>
  <sheetFormatPr defaultColWidth="16.85546875" defaultRowHeight="12.75" customHeight="1" x14ac:dyDescent="0.2"/>
  <cols>
    <col min="1" max="1" width="8.85546875" style="1" customWidth="1"/>
    <col min="2" max="2" width="16.85546875" style="2"/>
    <col min="3" max="3" width="54.28515625" style="2" bestFit="1" customWidth="1"/>
    <col min="4" max="4" width="8.7109375" style="2" customWidth="1"/>
    <col min="5" max="37" width="8.7109375" style="1" customWidth="1"/>
    <col min="38" max="16384" width="16.85546875" style="1"/>
  </cols>
  <sheetData>
    <row r="1" spans="1:43" customFormat="1" ht="23.45" customHeight="1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3" customFormat="1" ht="15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3" customFormat="1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3" customFormat="1" ht="15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3" customFormat="1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2">
        <v>0</v>
      </c>
      <c r="N5" s="53" t="s">
        <v>5</v>
      </c>
      <c r="O5" s="53"/>
      <c r="P5" s="54"/>
      <c r="Q5" s="55"/>
    </row>
    <row r="6" spans="1:43" customFormat="1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3" customFormat="1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8" spans="1:43" customFormat="1" ht="15" x14ac:dyDescent="0.25"/>
    <row r="9" spans="1:43" customFormat="1" ht="15" x14ac:dyDescent="0.25">
      <c r="A9" t="s">
        <v>12</v>
      </c>
    </row>
    <row r="10" spans="1:43" customFormat="1" ht="26.25" x14ac:dyDescent="0.25">
      <c r="A10" s="25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95</v>
      </c>
      <c r="G10" s="37">
        <v>46082</v>
      </c>
      <c r="H10" s="37">
        <v>46083</v>
      </c>
      <c r="I10" s="37">
        <v>46084</v>
      </c>
      <c r="J10" s="37">
        <v>46085</v>
      </c>
      <c r="K10" s="37">
        <v>46086</v>
      </c>
      <c r="L10" s="37">
        <v>46087</v>
      </c>
      <c r="M10" s="37">
        <v>46088</v>
      </c>
      <c r="N10" s="37">
        <v>46089</v>
      </c>
      <c r="O10" s="37">
        <v>46090</v>
      </c>
      <c r="P10" s="37">
        <v>46091</v>
      </c>
      <c r="Q10" s="37">
        <v>46092</v>
      </c>
      <c r="R10" s="37">
        <v>46093</v>
      </c>
      <c r="S10" s="37">
        <v>46094</v>
      </c>
      <c r="T10" s="37">
        <v>46095</v>
      </c>
      <c r="U10" s="37">
        <v>46096</v>
      </c>
      <c r="V10" s="37">
        <v>46097</v>
      </c>
      <c r="W10" s="37">
        <v>46098</v>
      </c>
      <c r="X10" s="37">
        <v>46099</v>
      </c>
      <c r="Y10" s="37">
        <v>46100</v>
      </c>
      <c r="Z10" s="37">
        <v>46101</v>
      </c>
      <c r="AA10" s="37">
        <v>46102</v>
      </c>
      <c r="AB10" s="37">
        <v>46103</v>
      </c>
      <c r="AC10" s="37">
        <v>46104</v>
      </c>
      <c r="AD10" s="37">
        <v>46105</v>
      </c>
      <c r="AE10" s="37">
        <v>46106</v>
      </c>
      <c r="AF10" s="37">
        <v>46107</v>
      </c>
      <c r="AG10" s="37">
        <v>46108</v>
      </c>
      <c r="AH10" s="37">
        <v>46109</v>
      </c>
      <c r="AI10" s="37">
        <v>46110</v>
      </c>
      <c r="AJ10" s="37">
        <v>46111</v>
      </c>
      <c r="AK10" s="37">
        <v>46112</v>
      </c>
      <c r="AL10" s="14" t="s">
        <v>96</v>
      </c>
      <c r="AM10" s="5" t="s">
        <v>18</v>
      </c>
      <c r="AN10" s="5" t="s">
        <v>19</v>
      </c>
      <c r="AO10" s="5" t="s">
        <v>20</v>
      </c>
      <c r="AP10" s="16"/>
      <c r="AQ10" s="17"/>
    </row>
    <row r="11" spans="1:43" customFormat="1" ht="15" x14ac:dyDescent="0.25">
      <c r="A11" s="35" t="s">
        <v>31</v>
      </c>
      <c r="B11" s="21" t="s">
        <v>32</v>
      </c>
      <c r="C11" s="21" t="s">
        <v>33</v>
      </c>
      <c r="D11" s="6"/>
      <c r="E11" s="7"/>
      <c r="F11" s="14">
        <f>'Feb 2026'!AI11</f>
        <v>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8"/>
      <c r="AL11" s="33">
        <f>F11+SUM(G11:AK11)</f>
        <v>0</v>
      </c>
      <c r="AM11" s="34"/>
      <c r="AN11" s="34"/>
      <c r="AO11" s="34"/>
      <c r="AP11" s="17" t="s">
        <v>99</v>
      </c>
      <c r="AQ11" s="17"/>
    </row>
    <row r="12" spans="1:43" customFormat="1" ht="15" x14ac:dyDescent="0.25">
      <c r="A12" s="35" t="s">
        <v>90</v>
      </c>
      <c r="B12" s="21" t="s">
        <v>34</v>
      </c>
      <c r="C12" s="21" t="s">
        <v>35</v>
      </c>
      <c r="D12" s="6"/>
      <c r="E12" s="7"/>
      <c r="F12" s="14">
        <f>'Feb 2026'!AI12</f>
        <v>793</v>
      </c>
      <c r="G12" s="30"/>
      <c r="H12" s="30"/>
      <c r="I12" s="30">
        <v>-86</v>
      </c>
      <c r="J12" s="30"/>
      <c r="K12" s="30"/>
      <c r="L12" s="30">
        <v>-170</v>
      </c>
      <c r="M12" s="30">
        <f>-58+-42</f>
        <v>-100</v>
      </c>
      <c r="N12" s="30"/>
      <c r="O12" s="30"/>
      <c r="P12" s="30"/>
      <c r="Q12" s="30"/>
      <c r="R12" s="30"/>
      <c r="S12" s="30"/>
      <c r="T12" s="30"/>
      <c r="U12" s="30"/>
      <c r="V12" s="30">
        <v>-16</v>
      </c>
      <c r="W12" s="30">
        <v>-58</v>
      </c>
      <c r="X12" s="38"/>
      <c r="Y12" s="38"/>
      <c r="Z12" s="38"/>
      <c r="AA12" s="38"/>
      <c r="AB12" s="30"/>
      <c r="AC12" s="38"/>
      <c r="AD12" s="38"/>
      <c r="AE12" s="38"/>
      <c r="AF12" s="38"/>
      <c r="AG12" s="30">
        <v>-28</v>
      </c>
      <c r="AH12" s="30"/>
      <c r="AI12" s="30"/>
      <c r="AJ12" s="30">
        <v>-4</v>
      </c>
      <c r="AK12" s="38"/>
      <c r="AL12" s="33">
        <f t="shared" ref="AL12:AL47" si="0">F12+SUM(G12:AK12)</f>
        <v>331</v>
      </c>
      <c r="AM12" s="34">
        <v>100</v>
      </c>
      <c r="AN12" s="34">
        <v>150</v>
      </c>
      <c r="AO12" s="34">
        <v>1000</v>
      </c>
      <c r="AP12" s="17"/>
      <c r="AQ12" s="17"/>
    </row>
    <row r="13" spans="1:43" customFormat="1" ht="15" x14ac:dyDescent="0.25">
      <c r="A13" s="35" t="s">
        <v>90</v>
      </c>
      <c r="B13" s="21" t="s">
        <v>36</v>
      </c>
      <c r="C13" s="21" t="s">
        <v>37</v>
      </c>
      <c r="D13" s="6"/>
      <c r="E13" s="7"/>
      <c r="F13" s="14">
        <f>'Feb 2026'!AI13</f>
        <v>1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8"/>
      <c r="W13" s="30"/>
      <c r="X13" s="38"/>
      <c r="Y13" s="38"/>
      <c r="Z13" s="38"/>
      <c r="AA13" s="30"/>
      <c r="AB13" s="30"/>
      <c r="AC13" s="30"/>
      <c r="AD13" s="38"/>
      <c r="AE13" s="38"/>
      <c r="AF13" s="38"/>
      <c r="AG13" s="38"/>
      <c r="AH13" s="38"/>
      <c r="AI13" s="38"/>
      <c r="AJ13" s="38"/>
      <c r="AK13" s="38"/>
      <c r="AL13" s="33">
        <f t="shared" si="0"/>
        <v>1</v>
      </c>
      <c r="AM13" s="34"/>
      <c r="AN13" s="34"/>
      <c r="AO13" s="34"/>
      <c r="AP13" s="17" t="s">
        <v>99</v>
      </c>
      <c r="AQ13" s="17"/>
    </row>
    <row r="14" spans="1:43" customFormat="1" ht="15" x14ac:dyDescent="0.25">
      <c r="A14" s="35" t="s">
        <v>90</v>
      </c>
      <c r="B14" s="21" t="s">
        <v>38</v>
      </c>
      <c r="C14" s="21" t="s">
        <v>39</v>
      </c>
      <c r="D14" s="6"/>
      <c r="E14" s="7"/>
      <c r="F14" s="14">
        <f>'Feb 2026'!AI14</f>
        <v>68</v>
      </c>
      <c r="G14" s="30"/>
      <c r="H14" s="30"/>
      <c r="I14" s="30"/>
      <c r="J14" s="30">
        <v>-8</v>
      </c>
      <c r="K14" s="30"/>
      <c r="L14" s="30"/>
      <c r="M14" s="30"/>
      <c r="N14" s="30"/>
      <c r="O14" s="30"/>
      <c r="P14" s="30"/>
      <c r="Q14" s="30">
        <f>-1+-3</f>
        <v>-4</v>
      </c>
      <c r="R14" s="30"/>
      <c r="S14" s="30"/>
      <c r="T14" s="30"/>
      <c r="U14" s="30"/>
      <c r="V14" s="30"/>
      <c r="W14" s="30">
        <v>-3</v>
      </c>
      <c r="X14" s="38"/>
      <c r="Y14" s="38"/>
      <c r="Z14" s="38"/>
      <c r="AA14" s="30">
        <v>-1</v>
      </c>
      <c r="AB14" s="30"/>
      <c r="AC14" s="30"/>
      <c r="AD14" s="38"/>
      <c r="AE14" s="38"/>
      <c r="AF14" s="30">
        <v>-1</v>
      </c>
      <c r="AG14" s="38"/>
      <c r="AH14" s="38"/>
      <c r="AI14" s="38"/>
      <c r="AJ14" s="38"/>
      <c r="AK14" s="36"/>
      <c r="AL14" s="33">
        <f t="shared" si="0"/>
        <v>51</v>
      </c>
      <c r="AM14" s="34">
        <v>10</v>
      </c>
      <c r="AN14" s="34">
        <v>15</v>
      </c>
      <c r="AO14" s="34">
        <v>25</v>
      </c>
      <c r="AP14" s="17"/>
      <c r="AQ14" s="17"/>
    </row>
    <row r="15" spans="1:43" customFormat="1" ht="15" x14ac:dyDescent="0.25">
      <c r="A15" s="35" t="s">
        <v>90</v>
      </c>
      <c r="B15" s="21" t="s">
        <v>40</v>
      </c>
      <c r="C15" s="21" t="s">
        <v>41</v>
      </c>
      <c r="D15" s="6"/>
      <c r="E15" s="7"/>
      <c r="F15" s="14">
        <f>'Feb 2026'!AI15</f>
        <v>508</v>
      </c>
      <c r="G15" s="30"/>
      <c r="H15" s="30">
        <v>-3</v>
      </c>
      <c r="I15" s="30"/>
      <c r="J15" s="30"/>
      <c r="K15" s="30">
        <f>-23+-14</f>
        <v>-37</v>
      </c>
      <c r="L15" s="30"/>
      <c r="M15" s="30"/>
      <c r="N15" s="30"/>
      <c r="O15" s="30"/>
      <c r="P15" s="30"/>
      <c r="Q15" s="30">
        <v>-10</v>
      </c>
      <c r="R15" s="30"/>
      <c r="S15" s="30"/>
      <c r="T15" s="30"/>
      <c r="U15" s="36"/>
      <c r="V15" s="30"/>
      <c r="W15" s="38"/>
      <c r="X15" s="38"/>
      <c r="Y15" s="38"/>
      <c r="Z15" s="38"/>
      <c r="AA15" s="38"/>
      <c r="AB15" s="30"/>
      <c r="AC15" s="30"/>
      <c r="AD15" s="38"/>
      <c r="AE15" s="38"/>
      <c r="AF15" s="30">
        <v>-42</v>
      </c>
      <c r="AG15" s="38"/>
      <c r="AH15" s="38"/>
      <c r="AI15" s="38"/>
      <c r="AJ15" s="30">
        <v>-2</v>
      </c>
      <c r="AK15" s="38"/>
      <c r="AL15" s="33">
        <f t="shared" si="0"/>
        <v>414</v>
      </c>
      <c r="AM15" s="34">
        <v>50</v>
      </c>
      <c r="AN15" s="34">
        <v>100</v>
      </c>
      <c r="AO15" s="34">
        <v>300</v>
      </c>
      <c r="AP15" s="17"/>
      <c r="AQ15" s="17"/>
    </row>
    <row r="16" spans="1:43" customFormat="1" ht="15" x14ac:dyDescent="0.25">
      <c r="A16" s="35" t="s">
        <v>31</v>
      </c>
      <c r="B16" s="21" t="s">
        <v>42</v>
      </c>
      <c r="C16" s="21" t="s">
        <v>43</v>
      </c>
      <c r="D16" s="6"/>
      <c r="E16" s="7"/>
      <c r="F16" s="14">
        <f>'Feb 2026'!AI16</f>
        <v>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8"/>
      <c r="W16" s="38"/>
      <c r="X16" s="38"/>
      <c r="Y16" s="38"/>
      <c r="Z16" s="38"/>
      <c r="AA16" s="38"/>
      <c r="AB16" s="30"/>
      <c r="AC16" s="38"/>
      <c r="AD16" s="38"/>
      <c r="AE16" s="38"/>
      <c r="AF16" s="38"/>
      <c r="AG16" s="38"/>
      <c r="AH16" s="38"/>
      <c r="AI16" s="38"/>
      <c r="AJ16" s="38"/>
      <c r="AK16" s="38"/>
      <c r="AL16" s="33">
        <f t="shared" si="0"/>
        <v>0</v>
      </c>
      <c r="AM16" s="34"/>
      <c r="AN16" s="34"/>
      <c r="AO16" s="34"/>
      <c r="AP16" s="17" t="s">
        <v>99</v>
      </c>
      <c r="AQ16" s="17"/>
    </row>
    <row r="17" spans="1:43" customFormat="1" ht="15" x14ac:dyDescent="0.25">
      <c r="A17" s="35" t="s">
        <v>31</v>
      </c>
      <c r="B17" s="21" t="s">
        <v>44</v>
      </c>
      <c r="C17" s="21" t="s">
        <v>45</v>
      </c>
      <c r="D17" s="6"/>
      <c r="E17" s="7"/>
      <c r="F17" s="14">
        <f>'Feb 2026'!AI17</f>
        <v>0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8"/>
      <c r="W17" s="38"/>
      <c r="X17" s="38"/>
      <c r="Y17" s="38"/>
      <c r="Z17" s="38"/>
      <c r="AA17" s="38"/>
      <c r="AB17" s="30"/>
      <c r="AC17" s="38"/>
      <c r="AD17" s="38"/>
      <c r="AE17" s="38"/>
      <c r="AF17" s="38"/>
      <c r="AG17" s="38"/>
      <c r="AH17" s="38"/>
      <c r="AI17" s="30"/>
      <c r="AJ17" s="38"/>
      <c r="AK17" s="38"/>
      <c r="AL17" s="33">
        <f t="shared" si="0"/>
        <v>0</v>
      </c>
      <c r="AM17" s="34"/>
      <c r="AN17" s="34"/>
      <c r="AO17" s="34"/>
      <c r="AP17" s="17" t="s">
        <v>99</v>
      </c>
      <c r="AQ17" s="17"/>
    </row>
    <row r="18" spans="1:43" customFormat="1" ht="15" x14ac:dyDescent="0.25">
      <c r="A18" s="35" t="s">
        <v>31</v>
      </c>
      <c r="B18" s="21" t="s">
        <v>46</v>
      </c>
      <c r="C18" s="21" t="s">
        <v>47</v>
      </c>
      <c r="D18" s="6"/>
      <c r="E18" s="7"/>
      <c r="F18" s="14">
        <f>'Feb 2026'!AI18</f>
        <v>0</v>
      </c>
      <c r="G18" s="30"/>
      <c r="H18" s="36">
        <f>500-24</f>
        <v>476</v>
      </c>
      <c r="I18" s="30">
        <v>-72</v>
      </c>
      <c r="J18" s="30"/>
      <c r="K18" s="30"/>
      <c r="L18" s="30"/>
      <c r="M18" s="30">
        <f>-86+-16+-174+-72+-15+-42</f>
        <v>-405</v>
      </c>
      <c r="N18" s="30"/>
      <c r="O18" s="30"/>
      <c r="P18" s="30"/>
      <c r="Q18" s="30"/>
      <c r="R18" s="30"/>
      <c r="S18" s="36"/>
      <c r="T18" s="30"/>
      <c r="U18" s="30"/>
      <c r="V18" s="36">
        <v>478</v>
      </c>
      <c r="W18" s="30">
        <f>-32+-16+-58</f>
        <v>-106</v>
      </c>
      <c r="X18" s="38"/>
      <c r="Y18" s="30"/>
      <c r="Z18" s="38"/>
      <c r="AA18" s="38"/>
      <c r="AB18" s="30"/>
      <c r="AC18" s="38"/>
      <c r="AD18" s="30">
        <v>-40</v>
      </c>
      <c r="AE18" s="38"/>
      <c r="AF18" s="38"/>
      <c r="AG18" s="36"/>
      <c r="AH18" s="30"/>
      <c r="AI18" s="30"/>
      <c r="AJ18" s="30">
        <v>-4</v>
      </c>
      <c r="AK18" s="38"/>
      <c r="AL18" s="33">
        <f t="shared" si="0"/>
        <v>327</v>
      </c>
      <c r="AM18" s="34">
        <v>100</v>
      </c>
      <c r="AN18" s="34">
        <v>150</v>
      </c>
      <c r="AO18" s="34">
        <v>500</v>
      </c>
      <c r="AP18" s="17"/>
      <c r="AQ18" s="17"/>
    </row>
    <row r="19" spans="1:43" customFormat="1" ht="15" x14ac:dyDescent="0.25">
      <c r="A19" s="35" t="s">
        <v>31</v>
      </c>
      <c r="B19" s="21" t="s">
        <v>48</v>
      </c>
      <c r="C19" s="21" t="s">
        <v>49</v>
      </c>
      <c r="D19" s="6"/>
      <c r="E19" s="7"/>
      <c r="F19" s="14">
        <f>'Feb 2026'!AI19</f>
        <v>0</v>
      </c>
      <c r="G19" s="30"/>
      <c r="H19" s="36">
        <f>500-6</f>
        <v>494</v>
      </c>
      <c r="I19" s="30"/>
      <c r="J19" s="30"/>
      <c r="K19" s="30"/>
      <c r="L19" s="30"/>
      <c r="M19" s="30">
        <f>-86+-16+-174+-72</f>
        <v>-348</v>
      </c>
      <c r="N19" s="30"/>
      <c r="O19" s="30"/>
      <c r="P19" s="30"/>
      <c r="Q19" s="30"/>
      <c r="R19" s="30"/>
      <c r="S19" s="36"/>
      <c r="T19" s="30"/>
      <c r="U19" s="30"/>
      <c r="V19" s="36">
        <v>496</v>
      </c>
      <c r="W19" s="30">
        <f>-58+-16</f>
        <v>-74</v>
      </c>
      <c r="X19" s="38"/>
      <c r="Y19" s="30"/>
      <c r="Z19" s="38"/>
      <c r="AA19" s="30"/>
      <c r="AB19" s="30"/>
      <c r="AC19" s="38"/>
      <c r="AD19" s="38"/>
      <c r="AE19" s="38"/>
      <c r="AF19" s="38"/>
      <c r="AG19" s="30">
        <v>-28</v>
      </c>
      <c r="AH19" s="30"/>
      <c r="AI19" s="30"/>
      <c r="AJ19" s="30">
        <v>-4</v>
      </c>
      <c r="AK19" s="38"/>
      <c r="AL19" s="33">
        <f t="shared" si="0"/>
        <v>536</v>
      </c>
      <c r="AM19" s="34">
        <v>100</v>
      </c>
      <c r="AN19" s="34">
        <v>150</v>
      </c>
      <c r="AO19" s="34">
        <v>500</v>
      </c>
      <c r="AP19" s="17"/>
      <c r="AQ19" s="17"/>
    </row>
    <row r="20" spans="1:43" customFormat="1" ht="15" x14ac:dyDescent="0.25">
      <c r="A20" s="35" t="s">
        <v>91</v>
      </c>
      <c r="B20" s="21" t="s">
        <v>50</v>
      </c>
      <c r="C20" s="21" t="s">
        <v>51</v>
      </c>
      <c r="D20" s="6"/>
      <c r="E20" s="7" t="s">
        <v>97</v>
      </c>
      <c r="F20" s="14">
        <f>'Feb 2026'!AI20</f>
        <v>107.5</v>
      </c>
      <c r="G20" s="30"/>
      <c r="H20" s="30">
        <f>-7.5+-7.5</f>
        <v>-15</v>
      </c>
      <c r="I20" s="30"/>
      <c r="J20" s="30"/>
      <c r="K20" s="30">
        <f>-57.5+-35</f>
        <v>-92.5</v>
      </c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8"/>
      <c r="X20" s="38"/>
      <c r="Y20" s="30"/>
      <c r="Z20" s="38"/>
      <c r="AA20" s="38"/>
      <c r="AB20" s="30"/>
      <c r="AC20" s="30"/>
      <c r="AD20" s="38"/>
      <c r="AE20" s="30"/>
      <c r="AF20" s="30">
        <v>-105</v>
      </c>
      <c r="AG20" s="38"/>
      <c r="AH20" s="38"/>
      <c r="AI20" s="30"/>
      <c r="AJ20" s="30">
        <v>-5</v>
      </c>
      <c r="AK20" s="38"/>
      <c r="AL20" s="33">
        <f t="shared" si="0"/>
        <v>-110</v>
      </c>
      <c r="AM20" s="34">
        <v>150</v>
      </c>
      <c r="AN20" s="34">
        <v>250</v>
      </c>
      <c r="AO20" s="34">
        <v>1000</v>
      </c>
      <c r="AP20" s="17"/>
      <c r="AQ20" s="17"/>
    </row>
    <row r="21" spans="1:43" customFormat="1" ht="15" x14ac:dyDescent="0.25">
      <c r="B21" s="21" t="s">
        <v>52</v>
      </c>
      <c r="C21" s="21" t="s">
        <v>53</v>
      </c>
      <c r="D21" s="6"/>
      <c r="E21" s="7"/>
      <c r="F21" s="14">
        <f>'Feb 2026'!AI21</f>
        <v>0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8"/>
      <c r="W21" s="38"/>
      <c r="X21" s="38"/>
      <c r="Y21" s="38"/>
      <c r="Z21" s="38"/>
      <c r="AA21" s="38"/>
      <c r="AB21" s="30"/>
      <c r="AC21" s="38"/>
      <c r="AD21" s="38"/>
      <c r="AE21" s="38"/>
      <c r="AF21" s="38"/>
      <c r="AG21" s="38"/>
      <c r="AH21" s="38"/>
      <c r="AI21" s="38"/>
      <c r="AJ21" s="30"/>
      <c r="AK21" s="38"/>
      <c r="AL21" s="33">
        <f t="shared" si="0"/>
        <v>0</v>
      </c>
      <c r="AM21" s="34"/>
      <c r="AN21" s="34"/>
      <c r="AO21" s="34"/>
      <c r="AP21" s="17" t="s">
        <v>99</v>
      </c>
      <c r="AQ21" s="17"/>
    </row>
    <row r="22" spans="1:43" customFormat="1" ht="15" x14ac:dyDescent="0.25">
      <c r="A22" s="35" t="s">
        <v>90</v>
      </c>
      <c r="B22" s="21" t="s">
        <v>54</v>
      </c>
      <c r="C22" s="21" t="s">
        <v>55</v>
      </c>
      <c r="D22" s="6"/>
      <c r="E22" s="7"/>
      <c r="F22" s="14">
        <f>'Feb 2026'!AI22</f>
        <v>52</v>
      </c>
      <c r="G22" s="30"/>
      <c r="H22" s="30"/>
      <c r="I22" s="30"/>
      <c r="J22" s="30">
        <v>-8</v>
      </c>
      <c r="K22" s="30"/>
      <c r="L22" s="30"/>
      <c r="M22" s="30"/>
      <c r="N22" s="30"/>
      <c r="O22" s="30"/>
      <c r="P22" s="30"/>
      <c r="Q22" s="30">
        <f>-1+-3</f>
        <v>-4</v>
      </c>
      <c r="R22" s="30"/>
      <c r="S22" s="30"/>
      <c r="T22" s="30"/>
      <c r="U22" s="30"/>
      <c r="V22" s="30"/>
      <c r="W22" s="30">
        <v>-3</v>
      </c>
      <c r="X22" s="38"/>
      <c r="Y22" s="38"/>
      <c r="Z22" s="36"/>
      <c r="AA22" s="30">
        <v>-1</v>
      </c>
      <c r="AB22" s="30"/>
      <c r="AC22" s="30"/>
      <c r="AD22" s="38"/>
      <c r="AE22" s="38"/>
      <c r="AF22" s="30">
        <v>-1</v>
      </c>
      <c r="AG22" s="38"/>
      <c r="AH22" s="38"/>
      <c r="AI22" s="38"/>
      <c r="AJ22" s="30"/>
      <c r="AK22" s="36"/>
      <c r="AL22" s="33">
        <f t="shared" si="0"/>
        <v>35</v>
      </c>
      <c r="AM22" s="34">
        <v>10</v>
      </c>
      <c r="AN22" s="34">
        <v>15</v>
      </c>
      <c r="AO22" s="34">
        <v>25</v>
      </c>
      <c r="AP22" s="17"/>
      <c r="AQ22" s="17"/>
    </row>
    <row r="23" spans="1:43" customFormat="1" ht="15" x14ac:dyDescent="0.25">
      <c r="B23" s="21" t="s">
        <v>56</v>
      </c>
      <c r="C23" s="21" t="s">
        <v>57</v>
      </c>
      <c r="D23" s="6"/>
      <c r="E23" s="7"/>
      <c r="F23" s="14">
        <f>'Feb 2026'!AI23</f>
        <v>0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8"/>
      <c r="W23" s="38"/>
      <c r="X23" s="38"/>
      <c r="Y23" s="38"/>
      <c r="Z23" s="38"/>
      <c r="AA23" s="38"/>
      <c r="AB23" s="30"/>
      <c r="AC23" s="38"/>
      <c r="AD23" s="38"/>
      <c r="AE23" s="38"/>
      <c r="AF23" s="38"/>
      <c r="AG23" s="38"/>
      <c r="AH23" s="38"/>
      <c r="AI23" s="38"/>
      <c r="AJ23" s="30"/>
      <c r="AK23" s="38"/>
      <c r="AL23" s="33">
        <f t="shared" si="0"/>
        <v>0</v>
      </c>
      <c r="AM23" s="34"/>
      <c r="AN23" s="34"/>
      <c r="AO23" s="34"/>
      <c r="AP23" s="17" t="s">
        <v>99</v>
      </c>
      <c r="AQ23" s="17"/>
    </row>
    <row r="24" spans="1:43" customFormat="1" ht="15" x14ac:dyDescent="0.25">
      <c r="B24" s="21" t="s">
        <v>58</v>
      </c>
      <c r="C24" s="21" t="s">
        <v>59</v>
      </c>
      <c r="D24" s="6"/>
      <c r="E24" s="7"/>
      <c r="F24" s="14">
        <f>'Feb 2026'!AI24</f>
        <v>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8"/>
      <c r="W24" s="38"/>
      <c r="X24" s="38"/>
      <c r="Y24" s="38"/>
      <c r="Z24" s="38"/>
      <c r="AA24" s="38"/>
      <c r="AB24" s="30"/>
      <c r="AC24" s="38"/>
      <c r="AD24" s="38"/>
      <c r="AE24" s="38"/>
      <c r="AF24" s="38"/>
      <c r="AG24" s="38"/>
      <c r="AH24" s="38"/>
      <c r="AI24" s="38"/>
      <c r="AJ24" s="38"/>
      <c r="AK24" s="38"/>
      <c r="AL24" s="33">
        <f t="shared" si="0"/>
        <v>0</v>
      </c>
      <c r="AM24" s="34"/>
      <c r="AN24" s="34"/>
      <c r="AO24" s="34"/>
      <c r="AP24" s="17" t="s">
        <v>99</v>
      </c>
      <c r="AQ24" s="17"/>
    </row>
    <row r="25" spans="1:43" customFormat="1" ht="15" x14ac:dyDescent="0.25">
      <c r="A25" s="35" t="s">
        <v>31</v>
      </c>
      <c r="B25" s="21" t="s">
        <v>60</v>
      </c>
      <c r="C25" s="21" t="s">
        <v>61</v>
      </c>
      <c r="D25" s="6"/>
      <c r="E25" s="7"/>
      <c r="F25" s="14">
        <f>'Feb 2026'!AI25</f>
        <v>78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8"/>
      <c r="W25" s="38"/>
      <c r="X25" s="38"/>
      <c r="Y25" s="38"/>
      <c r="Z25" s="38"/>
      <c r="AA25" s="38"/>
      <c r="AB25" s="30"/>
      <c r="AC25" s="38"/>
      <c r="AD25" s="38"/>
      <c r="AE25" s="38"/>
      <c r="AF25" s="38"/>
      <c r="AG25" s="38"/>
      <c r="AH25" s="38"/>
      <c r="AI25" s="38"/>
      <c r="AJ25" s="38"/>
      <c r="AK25" s="38"/>
      <c r="AL25" s="33">
        <f t="shared" si="0"/>
        <v>78</v>
      </c>
      <c r="AM25" s="34">
        <v>25</v>
      </c>
      <c r="AN25" s="34">
        <v>50</v>
      </c>
      <c r="AO25" s="34">
        <v>100</v>
      </c>
      <c r="AP25" s="17"/>
      <c r="AQ25" s="17"/>
    </row>
    <row r="26" spans="1:43" customFormat="1" ht="15" x14ac:dyDescent="0.25">
      <c r="A26" s="35" t="s">
        <v>92</v>
      </c>
      <c r="B26" s="21" t="s">
        <v>62</v>
      </c>
      <c r="C26" s="21" t="s">
        <v>63</v>
      </c>
      <c r="D26" s="6"/>
      <c r="E26" s="7"/>
      <c r="F26" s="14">
        <f>'Feb 2026'!AI26</f>
        <v>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8"/>
      <c r="W26" s="38"/>
      <c r="X26" s="38"/>
      <c r="Y26" s="38"/>
      <c r="Z26" s="38"/>
      <c r="AA26" s="38"/>
      <c r="AB26" s="30"/>
      <c r="AC26" s="38"/>
      <c r="AD26" s="38"/>
      <c r="AE26" s="38"/>
      <c r="AF26" s="38"/>
      <c r="AG26" s="38"/>
      <c r="AH26" s="38"/>
      <c r="AI26" s="38"/>
      <c r="AJ26" s="38"/>
      <c r="AK26" s="38"/>
      <c r="AL26" s="33">
        <f t="shared" si="0"/>
        <v>1</v>
      </c>
      <c r="AM26" s="34"/>
      <c r="AN26" s="34"/>
      <c r="AO26" s="34"/>
      <c r="AP26" s="17" t="s">
        <v>99</v>
      </c>
      <c r="AQ26" s="17"/>
    </row>
    <row r="27" spans="1:43" customFormat="1" ht="15" x14ac:dyDescent="0.25">
      <c r="A27" s="35" t="s">
        <v>92</v>
      </c>
      <c r="B27" s="21" t="s">
        <v>64</v>
      </c>
      <c r="C27" s="21" t="s">
        <v>65</v>
      </c>
      <c r="D27" s="6"/>
      <c r="E27" s="7"/>
      <c r="F27" s="14">
        <f>'Feb 2026'!AI27</f>
        <v>0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8"/>
      <c r="W27" s="38"/>
      <c r="X27" s="38"/>
      <c r="Y27" s="38"/>
      <c r="Z27" s="38"/>
      <c r="AA27" s="38"/>
      <c r="AB27" s="30"/>
      <c r="AC27" s="38"/>
      <c r="AD27" s="38"/>
      <c r="AE27" s="38"/>
      <c r="AF27" s="38"/>
      <c r="AG27" s="38"/>
      <c r="AH27" s="38"/>
      <c r="AI27" s="38"/>
      <c r="AJ27" s="38"/>
      <c r="AK27" s="38"/>
      <c r="AL27" s="33">
        <f t="shared" si="0"/>
        <v>0</v>
      </c>
      <c r="AM27" s="34"/>
      <c r="AN27" s="34"/>
      <c r="AO27" s="34"/>
      <c r="AP27" s="17" t="s">
        <v>99</v>
      </c>
      <c r="AQ27" s="17"/>
    </row>
    <row r="28" spans="1:43" customFormat="1" ht="15" x14ac:dyDescent="0.25">
      <c r="B28" s="21" t="s">
        <v>66</v>
      </c>
      <c r="C28" s="21" t="s">
        <v>67</v>
      </c>
      <c r="D28" s="6"/>
      <c r="E28" s="7"/>
      <c r="F28" s="14">
        <f>'Feb 2026'!AI28</f>
        <v>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8"/>
      <c r="W28" s="38"/>
      <c r="X28" s="38"/>
      <c r="Y28" s="38"/>
      <c r="Z28" s="38"/>
      <c r="AA28" s="38"/>
      <c r="AB28" s="30"/>
      <c r="AC28" s="38"/>
      <c r="AD28" s="38"/>
      <c r="AE28" s="38"/>
      <c r="AF28" s="38"/>
      <c r="AG28" s="38"/>
      <c r="AH28" s="38"/>
      <c r="AI28" s="38"/>
      <c r="AJ28" s="38"/>
      <c r="AK28" s="38"/>
      <c r="AL28" s="33">
        <f t="shared" si="0"/>
        <v>0</v>
      </c>
      <c r="AM28" s="34"/>
      <c r="AN28" s="34"/>
      <c r="AO28" s="34"/>
      <c r="AP28" s="17" t="s">
        <v>99</v>
      </c>
      <c r="AQ28" s="17"/>
    </row>
    <row r="29" spans="1:43" customFormat="1" ht="15" x14ac:dyDescent="0.25">
      <c r="A29" s="35" t="s">
        <v>31</v>
      </c>
      <c r="B29" s="21" t="s">
        <v>68</v>
      </c>
      <c r="C29" s="21" t="s">
        <v>69</v>
      </c>
      <c r="D29" s="6"/>
      <c r="E29" s="7"/>
      <c r="F29" s="14">
        <f>'Feb 2026'!AI29</f>
        <v>13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8"/>
      <c r="W29" s="38"/>
      <c r="X29" s="38"/>
      <c r="Y29" s="38"/>
      <c r="Z29" s="38"/>
      <c r="AA29" s="38"/>
      <c r="AB29" s="30"/>
      <c r="AC29" s="38"/>
      <c r="AD29" s="38"/>
      <c r="AE29" s="38"/>
      <c r="AF29" s="38"/>
      <c r="AG29" s="38"/>
      <c r="AH29" s="38"/>
      <c r="AI29" s="38"/>
      <c r="AJ29" s="38"/>
      <c r="AK29" s="38"/>
      <c r="AL29" s="33">
        <f t="shared" si="0"/>
        <v>13</v>
      </c>
      <c r="AM29" s="34"/>
      <c r="AN29" s="34"/>
      <c r="AO29" s="34"/>
      <c r="AP29" s="17" t="s">
        <v>99</v>
      </c>
      <c r="AQ29" s="17"/>
    </row>
    <row r="30" spans="1:43" customFormat="1" ht="15" x14ac:dyDescent="0.25">
      <c r="B30" s="21" t="s">
        <v>70</v>
      </c>
      <c r="C30" s="21" t="s">
        <v>71</v>
      </c>
      <c r="D30" s="6"/>
      <c r="E30" s="7"/>
      <c r="F30" s="14">
        <f>'Feb 2026'!AI30</f>
        <v>1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8"/>
      <c r="W30" s="38"/>
      <c r="X30" s="38"/>
      <c r="Y30" s="38"/>
      <c r="Z30" s="38"/>
      <c r="AA30" s="38"/>
      <c r="AB30" s="30"/>
      <c r="AC30" s="38"/>
      <c r="AD30" s="38"/>
      <c r="AE30" s="38"/>
      <c r="AF30" s="38"/>
      <c r="AG30" s="38"/>
      <c r="AH30" s="38"/>
      <c r="AI30" s="38"/>
      <c r="AJ30" s="38"/>
      <c r="AK30" s="38"/>
      <c r="AL30" s="33">
        <f t="shared" si="0"/>
        <v>1</v>
      </c>
      <c r="AM30" s="34"/>
      <c r="AN30" s="34"/>
      <c r="AO30" s="34"/>
      <c r="AP30" s="17" t="s">
        <v>99</v>
      </c>
      <c r="AQ30" s="17"/>
    </row>
    <row r="31" spans="1:43" customFormat="1" ht="15" x14ac:dyDescent="0.25">
      <c r="A31" s="35" t="s">
        <v>93</v>
      </c>
      <c r="B31" s="21" t="s">
        <v>72</v>
      </c>
      <c r="C31" s="21" t="s">
        <v>73</v>
      </c>
      <c r="D31" s="6"/>
      <c r="E31" s="7"/>
      <c r="F31" s="14">
        <f>'Feb 2026'!AI31</f>
        <v>627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8"/>
      <c r="W31" s="38"/>
      <c r="X31" s="38"/>
      <c r="Y31" s="38"/>
      <c r="Z31" s="38"/>
      <c r="AA31" s="38"/>
      <c r="AB31" s="30"/>
      <c r="AC31" s="38"/>
      <c r="AD31" s="38"/>
      <c r="AE31" s="38"/>
      <c r="AF31" s="38"/>
      <c r="AG31" s="38"/>
      <c r="AH31" s="38"/>
      <c r="AI31" s="38"/>
      <c r="AJ31" s="38"/>
      <c r="AK31" s="38"/>
      <c r="AL31" s="33">
        <f t="shared" si="0"/>
        <v>627</v>
      </c>
      <c r="AM31" s="34"/>
      <c r="AN31" s="34"/>
      <c r="AO31" s="34"/>
      <c r="AP31" s="17" t="s">
        <v>99</v>
      </c>
      <c r="AQ31" s="17"/>
    </row>
    <row r="32" spans="1:43" customFormat="1" ht="15" x14ac:dyDescent="0.25">
      <c r="B32" s="21" t="s">
        <v>74</v>
      </c>
      <c r="C32" s="21" t="s">
        <v>75</v>
      </c>
      <c r="D32" s="6"/>
      <c r="E32" s="7"/>
      <c r="F32" s="14">
        <f>'Feb 2026'!AI32</f>
        <v>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8"/>
      <c r="W32" s="38"/>
      <c r="X32" s="38"/>
      <c r="Y32" s="38"/>
      <c r="Z32" s="38"/>
      <c r="AA32" s="38"/>
      <c r="AB32" s="30"/>
      <c r="AC32" s="38"/>
      <c r="AD32" s="38"/>
      <c r="AE32" s="38"/>
      <c r="AF32" s="38"/>
      <c r="AG32" s="38"/>
      <c r="AH32" s="38"/>
      <c r="AI32" s="38"/>
      <c r="AJ32" s="38"/>
      <c r="AK32" s="38"/>
      <c r="AL32" s="33">
        <f t="shared" si="0"/>
        <v>0</v>
      </c>
      <c r="AM32" s="34"/>
      <c r="AN32" s="34"/>
      <c r="AO32" s="34"/>
      <c r="AP32" s="17" t="s">
        <v>99</v>
      </c>
      <c r="AQ32" s="17"/>
    </row>
    <row r="33" spans="1:43" customFormat="1" ht="15" x14ac:dyDescent="0.25">
      <c r="A33" s="35" t="s">
        <v>93</v>
      </c>
      <c r="B33" s="21" t="s">
        <v>76</v>
      </c>
      <c r="C33" s="21" t="s">
        <v>77</v>
      </c>
      <c r="D33" s="6"/>
      <c r="E33" s="7"/>
      <c r="F33" s="14">
        <f>'Feb 2026'!AI33</f>
        <v>13</v>
      </c>
      <c r="G33" s="30"/>
      <c r="H33" s="30"/>
      <c r="I33" s="30"/>
      <c r="J33" s="30"/>
      <c r="K33" s="30"/>
      <c r="L33" s="30"/>
      <c r="M33" s="30"/>
      <c r="N33" s="30"/>
      <c r="O33" s="30"/>
      <c r="P33" s="30"/>
      <c r="Q33" s="30"/>
      <c r="R33" s="30"/>
      <c r="S33" s="30"/>
      <c r="T33" s="30"/>
      <c r="U33" s="30"/>
      <c r="V33" s="30"/>
      <c r="W33" s="38"/>
      <c r="X33" s="38"/>
      <c r="Y33" s="38"/>
      <c r="Z33" s="38"/>
      <c r="AA33" s="38"/>
      <c r="AB33" s="30"/>
      <c r="AC33" s="38"/>
      <c r="AD33" s="38"/>
      <c r="AE33" s="38"/>
      <c r="AF33" s="38"/>
      <c r="AG33" s="30"/>
      <c r="AH33" s="38"/>
      <c r="AI33" s="38"/>
      <c r="AJ33" s="38"/>
      <c r="AK33" s="38"/>
      <c r="AL33" s="33">
        <f t="shared" si="0"/>
        <v>13</v>
      </c>
      <c r="AM33" s="34"/>
      <c r="AN33" s="34"/>
      <c r="AO33" s="34"/>
      <c r="AP33" s="17" t="s">
        <v>99</v>
      </c>
      <c r="AQ33" s="17"/>
    </row>
    <row r="34" spans="1:43" customFormat="1" ht="15" x14ac:dyDescent="0.25">
      <c r="A34" s="35" t="s">
        <v>93</v>
      </c>
      <c r="B34" s="21" t="s">
        <v>78</v>
      </c>
      <c r="C34" s="21" t="s">
        <v>79</v>
      </c>
      <c r="D34" s="6"/>
      <c r="E34" s="7"/>
      <c r="F34" s="14">
        <f>'Feb 2026'!AI34</f>
        <v>0</v>
      </c>
      <c r="G34" s="30"/>
      <c r="H34" s="30"/>
      <c r="I34" s="30"/>
      <c r="J34" s="30"/>
      <c r="K34" s="30"/>
      <c r="L34" s="30"/>
      <c r="M34" s="30"/>
      <c r="N34" s="30"/>
      <c r="O34" s="30"/>
      <c r="P34" s="30"/>
      <c r="Q34" s="30"/>
      <c r="R34" s="30"/>
      <c r="S34" s="30"/>
      <c r="T34" s="30"/>
      <c r="U34" s="30"/>
      <c r="V34" s="30"/>
      <c r="W34" s="38"/>
      <c r="X34" s="38"/>
      <c r="Y34" s="38"/>
      <c r="Z34" s="38"/>
      <c r="AA34" s="38"/>
      <c r="AB34" s="30"/>
      <c r="AC34" s="38"/>
      <c r="AD34" s="38"/>
      <c r="AE34" s="38"/>
      <c r="AF34" s="38"/>
      <c r="AG34" s="30"/>
      <c r="AH34" s="38"/>
      <c r="AI34" s="38"/>
      <c r="AJ34" s="38"/>
      <c r="AK34" s="38"/>
      <c r="AL34" s="33">
        <f t="shared" si="0"/>
        <v>0</v>
      </c>
      <c r="AM34" s="34"/>
      <c r="AN34" s="34"/>
      <c r="AO34" s="34"/>
      <c r="AP34" s="17" t="s">
        <v>100</v>
      </c>
      <c r="AQ34" s="17"/>
    </row>
    <row r="35" spans="1:43" customFormat="1" ht="15" x14ac:dyDescent="0.25">
      <c r="A35" s="35" t="s">
        <v>90</v>
      </c>
      <c r="B35" s="21" t="s">
        <v>80</v>
      </c>
      <c r="C35" s="21" t="s">
        <v>81</v>
      </c>
      <c r="D35" s="6"/>
      <c r="E35" s="7"/>
      <c r="F35" s="14">
        <f>'Feb 2026'!AI35</f>
        <v>51</v>
      </c>
      <c r="G35" s="30"/>
      <c r="H35" s="30"/>
      <c r="I35" s="30"/>
      <c r="J35" s="30">
        <v>-8</v>
      </c>
      <c r="K35" s="30"/>
      <c r="L35" s="30"/>
      <c r="M35" s="30"/>
      <c r="N35" s="30"/>
      <c r="O35" s="30"/>
      <c r="P35" s="30"/>
      <c r="Q35" s="30">
        <f>-1+-3</f>
        <v>-4</v>
      </c>
      <c r="R35" s="30"/>
      <c r="S35" s="30"/>
      <c r="T35" s="30"/>
      <c r="U35" s="30"/>
      <c r="V35" s="30"/>
      <c r="W35" s="30">
        <v>-3</v>
      </c>
      <c r="X35" s="38"/>
      <c r="Y35" s="38"/>
      <c r="Z35" s="36"/>
      <c r="AA35" s="30">
        <v>-1</v>
      </c>
      <c r="AB35" s="30"/>
      <c r="AC35" s="30"/>
      <c r="AD35" s="38"/>
      <c r="AE35" s="38"/>
      <c r="AF35" s="38"/>
      <c r="AG35" s="30">
        <v>-1</v>
      </c>
      <c r="AH35" s="38"/>
      <c r="AI35" s="38"/>
      <c r="AJ35" s="38"/>
      <c r="AK35" s="36"/>
      <c r="AL35" s="33">
        <f t="shared" si="0"/>
        <v>34</v>
      </c>
      <c r="AM35" s="34">
        <v>10</v>
      </c>
      <c r="AN35" s="34">
        <v>15</v>
      </c>
      <c r="AO35" s="34">
        <v>25</v>
      </c>
      <c r="AP35" s="17"/>
      <c r="AQ35" s="17"/>
    </row>
    <row r="36" spans="1:43" customFormat="1" ht="15" x14ac:dyDescent="0.25">
      <c r="A36" s="35" t="s">
        <v>93</v>
      </c>
      <c r="B36" s="21" t="s">
        <v>82</v>
      </c>
      <c r="C36" s="21" t="s">
        <v>83</v>
      </c>
      <c r="D36" s="6"/>
      <c r="E36" s="7"/>
      <c r="F36" s="14">
        <f>'Feb 2026'!AI36</f>
        <v>0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8"/>
      <c r="X36" s="38"/>
      <c r="Y36" s="38"/>
      <c r="Z36" s="38"/>
      <c r="AA36" s="38"/>
      <c r="AB36" s="30"/>
      <c r="AC36" s="38"/>
      <c r="AD36" s="38"/>
      <c r="AE36" s="38"/>
      <c r="AF36" s="38"/>
      <c r="AG36" s="30"/>
      <c r="AH36" s="38"/>
      <c r="AI36" s="38"/>
      <c r="AJ36" s="38"/>
      <c r="AK36" s="38"/>
      <c r="AL36" s="33">
        <f t="shared" si="0"/>
        <v>0</v>
      </c>
      <c r="AM36" s="34"/>
      <c r="AN36" s="34"/>
      <c r="AO36" s="34"/>
      <c r="AP36" s="17" t="s">
        <v>100</v>
      </c>
      <c r="AQ36" s="17"/>
    </row>
    <row r="37" spans="1:43" customFormat="1" ht="15" x14ac:dyDescent="0.25">
      <c r="A37" s="35" t="s">
        <v>94</v>
      </c>
      <c r="B37" s="21" t="s">
        <v>84</v>
      </c>
      <c r="C37" s="21" t="s">
        <v>85</v>
      </c>
      <c r="D37" s="6"/>
      <c r="E37" s="7"/>
      <c r="F37" s="14">
        <f>'Feb 2026'!AI37</f>
        <v>214</v>
      </c>
      <c r="G37" s="30"/>
      <c r="H37" s="30"/>
      <c r="I37" s="30"/>
      <c r="J37" s="30">
        <v>-16</v>
      </c>
      <c r="K37" s="30"/>
      <c r="L37" s="30"/>
      <c r="M37" s="30"/>
      <c r="N37" s="30"/>
      <c r="O37" s="30"/>
      <c r="P37" s="30"/>
      <c r="Q37" s="30">
        <f>-2+-6</f>
        <v>-8</v>
      </c>
      <c r="R37" s="30"/>
      <c r="S37" s="30"/>
      <c r="T37" s="30"/>
      <c r="U37" s="30"/>
      <c r="V37" s="30"/>
      <c r="W37" s="30">
        <v>-6</v>
      </c>
      <c r="X37" s="38"/>
      <c r="Y37" s="38"/>
      <c r="Z37" s="38"/>
      <c r="AA37" s="30">
        <v>-2</v>
      </c>
      <c r="AB37" s="30"/>
      <c r="AC37" s="30"/>
      <c r="AD37" s="38"/>
      <c r="AE37" s="38"/>
      <c r="AF37" s="38"/>
      <c r="AG37" s="30">
        <v>-2</v>
      </c>
      <c r="AH37" s="38"/>
      <c r="AI37" s="38"/>
      <c r="AJ37" s="38"/>
      <c r="AK37" s="36"/>
      <c r="AL37" s="33">
        <f t="shared" si="0"/>
        <v>180</v>
      </c>
      <c r="AM37" s="34">
        <v>50</v>
      </c>
      <c r="AN37" s="34">
        <v>50</v>
      </c>
      <c r="AO37" s="34">
        <v>100</v>
      </c>
      <c r="AP37" s="17"/>
      <c r="AQ37" s="17"/>
    </row>
    <row r="38" spans="1:43" customFormat="1" ht="15" x14ac:dyDescent="0.25">
      <c r="B38" s="21" t="s">
        <v>86</v>
      </c>
      <c r="C38" s="21" t="s">
        <v>87</v>
      </c>
      <c r="D38" s="6"/>
      <c r="E38" s="7" t="s">
        <v>97</v>
      </c>
      <c r="F38" s="14">
        <f>'Feb 2026'!AI38</f>
        <v>29.38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8"/>
      <c r="W38" s="38"/>
      <c r="X38" s="38"/>
      <c r="Y38" s="38"/>
      <c r="Z38" s="38"/>
      <c r="AA38" s="38"/>
      <c r="AB38" s="30"/>
      <c r="AC38" s="38"/>
      <c r="AD38" s="38"/>
      <c r="AE38" s="38"/>
      <c r="AF38" s="38"/>
      <c r="AG38" s="30"/>
      <c r="AH38" s="38"/>
      <c r="AI38" s="38"/>
      <c r="AJ38" s="38"/>
      <c r="AK38" s="38"/>
      <c r="AL38" s="33">
        <f t="shared" si="0"/>
        <v>29.38</v>
      </c>
      <c r="AM38" s="34"/>
      <c r="AN38" s="34"/>
      <c r="AO38" s="34"/>
      <c r="AP38" s="17" t="s">
        <v>99</v>
      </c>
      <c r="AQ38" s="17"/>
    </row>
    <row r="39" spans="1:43" customFormat="1" ht="15" x14ac:dyDescent="0.25">
      <c r="A39" s="35" t="s">
        <v>92</v>
      </c>
      <c r="B39" s="39"/>
      <c r="C39" s="40" t="s">
        <v>88</v>
      </c>
      <c r="D39" s="6"/>
      <c r="E39" s="7"/>
      <c r="F39" s="14">
        <f>'Feb 2026'!AI39</f>
        <v>0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8"/>
      <c r="W39" s="38"/>
      <c r="X39" s="38"/>
      <c r="Y39" s="38"/>
      <c r="Z39" s="38"/>
      <c r="AA39" s="38"/>
      <c r="AB39" s="30"/>
      <c r="AC39" s="38"/>
      <c r="AD39" s="38"/>
      <c r="AE39" s="38"/>
      <c r="AF39" s="38"/>
      <c r="AG39" s="30"/>
      <c r="AH39" s="38"/>
      <c r="AI39" s="38"/>
      <c r="AJ39" s="38"/>
      <c r="AK39" s="38"/>
      <c r="AL39" s="33">
        <f t="shared" si="0"/>
        <v>0</v>
      </c>
      <c r="AM39" s="34"/>
      <c r="AN39" s="34"/>
      <c r="AO39" s="34"/>
      <c r="AP39" s="17"/>
      <c r="AQ39" s="17"/>
    </row>
    <row r="40" spans="1:43" customFormat="1" ht="15" x14ac:dyDescent="0.25">
      <c r="A40" s="35" t="s">
        <v>31</v>
      </c>
      <c r="B40" s="39"/>
      <c r="C40" s="40" t="s">
        <v>89</v>
      </c>
      <c r="D40" s="6"/>
      <c r="E40" s="7"/>
      <c r="F40" s="14">
        <f>'Feb 2026'!AI40</f>
        <v>0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8"/>
      <c r="W40" s="38"/>
      <c r="X40" s="38"/>
      <c r="Y40" s="38"/>
      <c r="Z40" s="38"/>
      <c r="AA40" s="38"/>
      <c r="AB40" s="30"/>
      <c r="AC40" s="38"/>
      <c r="AD40" s="38"/>
      <c r="AE40" s="38"/>
      <c r="AF40" s="38"/>
      <c r="AG40" s="38"/>
      <c r="AH40" s="38"/>
      <c r="AI40" s="38"/>
      <c r="AJ40" s="38"/>
      <c r="AK40" s="38"/>
      <c r="AL40" s="33">
        <f t="shared" si="0"/>
        <v>0</v>
      </c>
      <c r="AM40" s="34"/>
      <c r="AN40" s="34"/>
      <c r="AO40" s="34"/>
      <c r="AP40" s="17"/>
      <c r="AQ40" s="17"/>
    </row>
    <row r="41" spans="1:43" customFormat="1" ht="15" x14ac:dyDescent="0.25">
      <c r="B41" s="21"/>
      <c r="C41" s="21" t="s">
        <v>98</v>
      </c>
      <c r="D41" s="12"/>
      <c r="E41" s="3"/>
      <c r="F41" s="14">
        <f>'Feb 2026'!AI41</f>
        <v>0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0"/>
      <c r="AL41" s="33">
        <f t="shared" si="0"/>
        <v>0</v>
      </c>
    </row>
    <row r="42" spans="1:43" customFormat="1" ht="15" x14ac:dyDescent="0.25">
      <c r="B42" s="21"/>
      <c r="C42" s="21"/>
      <c r="D42" s="12"/>
      <c r="E42" s="3"/>
      <c r="F42" s="4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0"/>
      <c r="AL42" s="33">
        <f t="shared" si="0"/>
        <v>0</v>
      </c>
    </row>
    <row r="43" spans="1:43" customFormat="1" ht="15" x14ac:dyDescent="0.25">
      <c r="B43" s="21"/>
      <c r="C43" s="21"/>
      <c r="D43" s="12"/>
      <c r="E43" s="3"/>
      <c r="F43" s="4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0"/>
      <c r="AL43" s="33">
        <f t="shared" si="0"/>
        <v>0</v>
      </c>
    </row>
    <row r="44" spans="1:43" customFormat="1" ht="15" x14ac:dyDescent="0.25">
      <c r="B44" s="21"/>
      <c r="C44" s="21"/>
      <c r="D44" s="12"/>
      <c r="E44" s="3"/>
      <c r="F44" s="4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0"/>
      <c r="AL44" s="33">
        <f t="shared" si="0"/>
        <v>0</v>
      </c>
    </row>
    <row r="45" spans="1:43" customFormat="1" ht="15" x14ac:dyDescent="0.25">
      <c r="B45" s="21"/>
      <c r="C45" s="21"/>
      <c r="D45" s="12"/>
      <c r="E45" s="3"/>
      <c r="F45" s="4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0"/>
      <c r="AL45" s="33">
        <f t="shared" si="0"/>
        <v>0</v>
      </c>
    </row>
    <row r="46" spans="1:43" customFormat="1" ht="15" x14ac:dyDescent="0.25">
      <c r="A46" s="32"/>
      <c r="B46" s="21"/>
      <c r="C46" s="21"/>
      <c r="D46" s="12"/>
      <c r="E46" s="3"/>
      <c r="F46" s="4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0"/>
      <c r="AL46" s="33">
        <f t="shared" si="0"/>
        <v>0</v>
      </c>
    </row>
    <row r="47" spans="1:43" customFormat="1" ht="15" x14ac:dyDescent="0.25">
      <c r="A47" s="32"/>
      <c r="B47" s="21"/>
      <c r="C47" s="21"/>
      <c r="D47" s="12"/>
      <c r="E47" s="3"/>
      <c r="F47" s="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12"/>
      <c r="AL47" s="33">
        <f t="shared" si="0"/>
        <v>0</v>
      </c>
    </row>
    <row r="48" spans="1:43" customFormat="1" ht="14.25" customHeight="1" x14ac:dyDescent="0.25">
      <c r="A48" s="32"/>
      <c r="B48" s="21"/>
      <c r="C48" s="21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12"/>
      <c r="AL48" s="26">
        <f t="shared" ref="AL48:AL51" si="1">SUM(G48:AK48)+F48</f>
        <v>0</v>
      </c>
    </row>
    <row r="49" spans="1:38" customFormat="1" ht="15" x14ac:dyDescent="0.25">
      <c r="A49" s="32"/>
      <c r="B49" s="21"/>
      <c r="C49" s="21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12"/>
      <c r="AL49" s="26">
        <f t="shared" si="1"/>
        <v>0</v>
      </c>
    </row>
    <row r="50" spans="1:38" customFormat="1" ht="15" x14ac:dyDescent="0.25">
      <c r="A50" s="32"/>
      <c r="B50" s="21"/>
      <c r="C50" s="21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12"/>
      <c r="AL50" s="26">
        <f t="shared" si="1"/>
        <v>0</v>
      </c>
    </row>
    <row r="51" spans="1:38" customFormat="1" ht="15" x14ac:dyDescent="0.25">
      <c r="A51" s="32"/>
      <c r="B51" s="21"/>
      <c r="C51" s="21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12"/>
      <c r="AL51" s="26">
        <f t="shared" si="1"/>
        <v>0</v>
      </c>
    </row>
    <row r="52" spans="1:38" customFormat="1" ht="15" x14ac:dyDescent="0.25">
      <c r="A52" s="32"/>
      <c r="B52" s="21"/>
      <c r="C52" s="2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12"/>
      <c r="AL52" s="26">
        <f t="shared" ref="AL52:AL53" si="2">F52+SUM(G52:AK52)</f>
        <v>0</v>
      </c>
    </row>
    <row r="53" spans="1:38" customFormat="1" ht="15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12"/>
      <c r="AL53" s="26">
        <f t="shared" si="2"/>
        <v>0</v>
      </c>
    </row>
    <row r="54" spans="1:38" ht="12.75" customHeight="1" x14ac:dyDescent="0.25">
      <c r="A54" s="3"/>
      <c r="B54" s="29"/>
      <c r="C54" s="29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12"/>
      <c r="AC54" s="3"/>
      <c r="AD54" s="3"/>
      <c r="AE54" s="3"/>
      <c r="AF54" s="3"/>
      <c r="AG54" s="3"/>
      <c r="AH54" s="3"/>
      <c r="AI54" s="3"/>
      <c r="AJ54" s="3"/>
      <c r="AK54" s="3"/>
    </row>
    <row r="55" spans="1:38" ht="15" x14ac:dyDescent="0.25">
      <c r="A55" s="3"/>
      <c r="B55" s="29"/>
      <c r="C55" s="29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12"/>
      <c r="AC55" s="3"/>
      <c r="AD55" s="3"/>
      <c r="AE55" s="3"/>
      <c r="AF55" s="3"/>
      <c r="AG55" s="3"/>
      <c r="AH55" s="3"/>
      <c r="AI55" s="3"/>
      <c r="AJ55" s="3"/>
      <c r="AK55" s="3"/>
    </row>
    <row r="56" spans="1:38" ht="79.5" customHeight="1" thickBot="1" x14ac:dyDescent="0.3">
      <c r="B56" s="8" t="s">
        <v>21</v>
      </c>
      <c r="C56" s="20"/>
      <c r="D56" s="20"/>
      <c r="E56" s="10" t="s">
        <v>22</v>
      </c>
      <c r="F56" s="23" t="s">
        <v>23</v>
      </c>
      <c r="G56" s="27" t="s">
        <v>24</v>
      </c>
      <c r="H56" s="28"/>
      <c r="AB56" s="12"/>
    </row>
    <row r="57" spans="1:38" ht="16.5" thickBot="1" x14ac:dyDescent="0.3">
      <c r="B57" s="8" t="s">
        <v>25</v>
      </c>
      <c r="C57" s="20"/>
      <c r="D57" s="20"/>
      <c r="E57" s="9"/>
      <c r="F57" s="22"/>
      <c r="G57" s="59"/>
      <c r="H57" s="60"/>
      <c r="AB57" s="12"/>
    </row>
    <row r="58" spans="1:38" ht="16.5" thickBot="1" x14ac:dyDescent="0.3">
      <c r="B58" s="8" t="s">
        <v>26</v>
      </c>
      <c r="C58" s="20"/>
      <c r="D58" s="20"/>
      <c r="E58" s="10"/>
      <c r="F58" s="23"/>
      <c r="G58" s="61"/>
      <c r="H58" s="62"/>
      <c r="AB58" s="12"/>
    </row>
    <row r="59" spans="1:38" ht="16.5" thickBot="1" x14ac:dyDescent="0.25">
      <c r="B59" s="8" t="s">
        <v>27</v>
      </c>
      <c r="C59" s="20"/>
      <c r="D59" s="20"/>
      <c r="E59" s="11"/>
      <c r="F59" s="24"/>
      <c r="G59" s="63"/>
      <c r="H59" s="64"/>
    </row>
    <row r="60" spans="1:38" ht="15.75" x14ac:dyDescent="0.2">
      <c r="B60" s="65" t="s">
        <v>28</v>
      </c>
      <c r="C60" s="18"/>
      <c r="D60" s="18"/>
      <c r="E60" s="68"/>
      <c r="F60" s="71"/>
      <c r="G60" s="74"/>
      <c r="H60" s="75"/>
    </row>
    <row r="61" spans="1:38" ht="15.75" x14ac:dyDescent="0.2">
      <c r="B61" s="66"/>
      <c r="C61" s="19"/>
      <c r="D61" s="19"/>
      <c r="E61" s="69"/>
      <c r="F61" s="72"/>
      <c r="G61" s="74"/>
      <c r="H61" s="75"/>
    </row>
    <row r="62" spans="1:38" ht="16.5" thickBot="1" x14ac:dyDescent="0.25">
      <c r="B62" s="67"/>
      <c r="C62" s="8"/>
      <c r="D62" s="8"/>
      <c r="E62" s="70"/>
      <c r="F62" s="73"/>
      <c r="G62" s="76"/>
      <c r="H62" s="77"/>
    </row>
  </sheetData>
  <mergeCells count="24">
    <mergeCell ref="G57:H57"/>
    <mergeCell ref="G58:H58"/>
    <mergeCell ref="G59:H59"/>
    <mergeCell ref="B60:B62"/>
    <mergeCell ref="E60:E62"/>
    <mergeCell ref="F60:F62"/>
    <mergeCell ref="G60:H6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L48:AL53">
    <cfRule type="cellIs" dxfId="5" priority="1" operator="greaterThan">
      <formula>#REF!</formula>
    </cfRule>
    <cfRule type="cellIs" dxfId="4" priority="2" operator="between">
      <formula>11</formula>
      <formula>50</formula>
    </cfRule>
    <cfRule type="cellIs" dxfId="3" priority="3" operator="lessThan">
      <formula>#REF!</formula>
    </cfRule>
  </conditionalFormatting>
  <pageMargins left="0.7" right="0.7" top="0.75" bottom="0.75" header="0.3" footer="0.3"/>
  <pageSetup paperSize="9" orientation="portrait" r:id="rId1"/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934DB4-77CD-41DD-A3C1-70FA9F62A0BA}">
  <dimension ref="A1:AP64"/>
  <sheetViews>
    <sheetView tabSelected="1" workbookViewId="0">
      <pane xSplit="5" ySplit="10" topLeftCell="F26" activePane="bottomRight" state="frozen"/>
      <selection pane="topRight" activeCell="F1" sqref="F1"/>
      <selection pane="bottomLeft" activeCell="A11" sqref="A11"/>
      <selection pane="bottomRight" activeCell="P35" sqref="P35"/>
    </sheetView>
  </sheetViews>
  <sheetFormatPr defaultRowHeight="15" x14ac:dyDescent="0.25"/>
  <cols>
    <col min="2" max="2" width="12.42578125" bestFit="1" customWidth="1"/>
    <col min="3" max="3" width="47.42578125" bestFit="1" customWidth="1"/>
  </cols>
  <sheetData>
    <row r="1" spans="1:42" ht="22.5" x14ac:dyDescent="0.25">
      <c r="E1" s="42" t="s">
        <v>29</v>
      </c>
      <c r="F1" s="42"/>
      <c r="G1" s="42"/>
      <c r="H1" s="42"/>
      <c r="I1" s="42"/>
      <c r="J1" s="42"/>
      <c r="K1" s="42"/>
      <c r="L1" s="42"/>
      <c r="M1" s="42"/>
      <c r="N1" s="42"/>
      <c r="O1" s="42"/>
      <c r="P1" s="42"/>
      <c r="Q1" s="42"/>
    </row>
    <row r="2" spans="1:42" x14ac:dyDescent="0.25">
      <c r="E2" s="43" t="s">
        <v>30</v>
      </c>
      <c r="F2" s="44"/>
      <c r="G2" s="44"/>
      <c r="H2" s="44"/>
      <c r="I2" s="44"/>
      <c r="J2" s="44"/>
      <c r="K2" s="44"/>
      <c r="L2" s="44"/>
      <c r="M2" s="44"/>
      <c r="N2" s="44"/>
      <c r="O2" s="44"/>
      <c r="P2" s="44"/>
      <c r="Q2" s="45"/>
    </row>
    <row r="3" spans="1:42" ht="15.75" x14ac:dyDescent="0.25">
      <c r="E3" s="46" t="s">
        <v>0</v>
      </c>
      <c r="F3" s="46"/>
      <c r="G3" s="46"/>
      <c r="H3" s="46"/>
      <c r="I3" s="46"/>
      <c r="J3" s="46"/>
      <c r="K3" s="46"/>
      <c r="L3" s="46"/>
      <c r="M3" s="46"/>
      <c r="N3" s="46"/>
      <c r="O3" s="46"/>
      <c r="P3" s="46"/>
      <c r="Q3" s="46"/>
    </row>
    <row r="4" spans="1:42" x14ac:dyDescent="0.25">
      <c r="E4" s="47" t="s">
        <v>1</v>
      </c>
      <c r="F4" s="47"/>
      <c r="G4" s="47"/>
      <c r="H4" s="47"/>
      <c r="I4" s="47"/>
      <c r="J4" s="47"/>
      <c r="K4" s="47"/>
      <c r="L4" s="47"/>
      <c r="M4" s="47"/>
      <c r="N4" s="47"/>
      <c r="O4" s="47"/>
      <c r="P4" s="47"/>
      <c r="Q4" s="47"/>
    </row>
    <row r="5" spans="1:42" ht="15.75" x14ac:dyDescent="0.25">
      <c r="E5" s="48" t="s">
        <v>2</v>
      </c>
      <c r="F5" s="48"/>
      <c r="G5" s="48"/>
      <c r="H5" s="49" t="s">
        <v>3</v>
      </c>
      <c r="I5" s="50"/>
      <c r="J5" s="51"/>
      <c r="K5" s="52" t="s">
        <v>4</v>
      </c>
      <c r="L5" s="52"/>
      <c r="M5" s="12">
        <v>0</v>
      </c>
      <c r="N5" s="53" t="s">
        <v>5</v>
      </c>
      <c r="O5" s="53"/>
      <c r="P5" s="54"/>
      <c r="Q5" s="55"/>
    </row>
    <row r="6" spans="1:42" ht="15.75" x14ac:dyDescent="0.25">
      <c r="E6" s="48" t="s">
        <v>6</v>
      </c>
      <c r="F6" s="48"/>
      <c r="G6" s="48"/>
      <c r="H6" s="56" t="s">
        <v>7</v>
      </c>
      <c r="I6" s="56"/>
      <c r="J6" s="56"/>
      <c r="K6" s="52" t="s">
        <v>8</v>
      </c>
      <c r="L6" s="52"/>
      <c r="M6" s="57" t="s">
        <v>9</v>
      </c>
      <c r="N6" s="57"/>
      <c r="O6" s="57"/>
      <c r="P6" s="57"/>
      <c r="Q6" s="57"/>
    </row>
    <row r="7" spans="1:42" ht="15.75" x14ac:dyDescent="0.25">
      <c r="E7" s="52" t="s">
        <v>10</v>
      </c>
      <c r="F7" s="52"/>
      <c r="G7" s="52"/>
      <c r="H7" s="58"/>
      <c r="I7" s="58"/>
      <c r="J7" s="58"/>
      <c r="K7" s="52" t="s">
        <v>11</v>
      </c>
      <c r="L7" s="52"/>
      <c r="M7" s="57"/>
      <c r="N7" s="57"/>
      <c r="O7" s="57"/>
      <c r="P7" s="57"/>
      <c r="Q7" s="57"/>
    </row>
    <row r="9" spans="1:42" x14ac:dyDescent="0.25">
      <c r="A9" t="s">
        <v>12</v>
      </c>
    </row>
    <row r="10" spans="1:42" ht="26.25" x14ac:dyDescent="0.25">
      <c r="A10" s="25" t="s">
        <v>13</v>
      </c>
      <c r="B10" s="6" t="s">
        <v>14</v>
      </c>
      <c r="C10" s="6" t="s">
        <v>15</v>
      </c>
      <c r="D10" s="6" t="s">
        <v>16</v>
      </c>
      <c r="E10" s="7" t="s">
        <v>17</v>
      </c>
      <c r="F10" s="14" t="s">
        <v>95</v>
      </c>
      <c r="G10" s="37">
        <v>46113</v>
      </c>
      <c r="H10" s="37">
        <v>46114</v>
      </c>
      <c r="I10" s="37">
        <v>46115</v>
      </c>
      <c r="J10" s="37">
        <v>46116</v>
      </c>
      <c r="K10" s="37">
        <v>46117</v>
      </c>
      <c r="L10" s="37">
        <v>46118</v>
      </c>
      <c r="M10" s="37">
        <v>46119</v>
      </c>
      <c r="N10" s="37">
        <v>46120</v>
      </c>
      <c r="O10" s="37">
        <v>46121</v>
      </c>
      <c r="P10" s="37">
        <v>46122</v>
      </c>
      <c r="Q10" s="37">
        <v>46123</v>
      </c>
      <c r="R10" s="37">
        <v>46124</v>
      </c>
      <c r="S10" s="37">
        <v>46125</v>
      </c>
      <c r="T10" s="37">
        <v>46126</v>
      </c>
      <c r="U10" s="37">
        <v>46127</v>
      </c>
      <c r="V10" s="37">
        <v>46128</v>
      </c>
      <c r="W10" s="37">
        <v>46129</v>
      </c>
      <c r="X10" s="37">
        <v>46130</v>
      </c>
      <c r="Y10" s="37">
        <v>46131</v>
      </c>
      <c r="Z10" s="37">
        <v>46132</v>
      </c>
      <c r="AA10" s="37">
        <v>46133</v>
      </c>
      <c r="AB10" s="37">
        <v>46134</v>
      </c>
      <c r="AC10" s="37">
        <v>46135</v>
      </c>
      <c r="AD10" s="37">
        <v>46136</v>
      </c>
      <c r="AE10" s="37">
        <v>46137</v>
      </c>
      <c r="AF10" s="37">
        <v>46138</v>
      </c>
      <c r="AG10" s="37">
        <v>46139</v>
      </c>
      <c r="AH10" s="37">
        <v>46140</v>
      </c>
      <c r="AI10" s="37">
        <v>46141</v>
      </c>
      <c r="AJ10" s="37">
        <v>46142</v>
      </c>
      <c r="AK10" s="14" t="s">
        <v>96</v>
      </c>
      <c r="AL10" s="5" t="s">
        <v>18</v>
      </c>
      <c r="AM10" s="5" t="s">
        <v>19</v>
      </c>
      <c r="AN10" s="5" t="s">
        <v>20</v>
      </c>
      <c r="AO10" s="16"/>
      <c r="AP10" s="17"/>
    </row>
    <row r="11" spans="1:42" x14ac:dyDescent="0.25">
      <c r="A11" s="35" t="s">
        <v>31</v>
      </c>
      <c r="B11" s="21" t="s">
        <v>32</v>
      </c>
      <c r="C11" s="21" t="s">
        <v>33</v>
      </c>
      <c r="D11" s="6"/>
      <c r="E11" s="7"/>
      <c r="F11" s="14">
        <f>'March 2026'!AL11</f>
        <v>0</v>
      </c>
      <c r="G11" s="30"/>
      <c r="H11" s="30"/>
      <c r="I11" s="30"/>
      <c r="J11" s="30"/>
      <c r="K11" s="30"/>
      <c r="L11" s="30"/>
      <c r="M11" s="30"/>
      <c r="N11" s="30"/>
      <c r="O11" s="30"/>
      <c r="P11" s="30"/>
      <c r="Q11" s="30"/>
      <c r="R11" s="30"/>
      <c r="S11" s="30"/>
      <c r="T11" s="30"/>
      <c r="U11" s="30"/>
      <c r="V11" s="38"/>
      <c r="W11" s="38"/>
      <c r="X11" s="38"/>
      <c r="Y11" s="38"/>
      <c r="Z11" s="38"/>
      <c r="AA11" s="38"/>
      <c r="AB11" s="38"/>
      <c r="AC11" s="38"/>
      <c r="AD11" s="38"/>
      <c r="AE11" s="38"/>
      <c r="AF11" s="38"/>
      <c r="AG11" s="38"/>
      <c r="AH11" s="38"/>
      <c r="AI11" s="38"/>
      <c r="AJ11" s="38"/>
      <c r="AK11" s="33">
        <f t="shared" ref="AK11:AK47" si="0">F11+SUM(G11:AJ11)</f>
        <v>0</v>
      </c>
      <c r="AL11" s="34"/>
      <c r="AM11" s="34"/>
      <c r="AN11" s="34"/>
      <c r="AO11" s="17" t="s">
        <v>99</v>
      </c>
      <c r="AP11" s="17"/>
    </row>
    <row r="12" spans="1:42" x14ac:dyDescent="0.25">
      <c r="A12" s="35" t="s">
        <v>90</v>
      </c>
      <c r="B12" s="21" t="s">
        <v>34</v>
      </c>
      <c r="C12" s="21" t="s">
        <v>35</v>
      </c>
      <c r="D12" s="6"/>
      <c r="E12" s="7"/>
      <c r="F12" s="14">
        <f>'March 2026'!AL12</f>
        <v>331</v>
      </c>
      <c r="G12" s="30"/>
      <c r="H12" s="30"/>
      <c r="I12" s="30"/>
      <c r="J12" s="30"/>
      <c r="K12" s="30"/>
      <c r="L12" s="30"/>
      <c r="M12" s="30"/>
      <c r="N12" s="30">
        <v>-158</v>
      </c>
      <c r="O12" s="30"/>
      <c r="P12" s="30"/>
      <c r="Q12" s="30"/>
      <c r="R12" s="30"/>
      <c r="S12" s="30">
        <v>-121</v>
      </c>
      <c r="T12" s="30"/>
      <c r="U12" s="30"/>
      <c r="V12" s="30"/>
      <c r="W12" s="30"/>
      <c r="X12" s="38"/>
      <c r="Y12" s="38"/>
      <c r="Z12" s="38"/>
      <c r="AA12" s="38"/>
      <c r="AB12" s="30"/>
      <c r="AC12" s="38"/>
      <c r="AD12" s="38"/>
      <c r="AE12" s="38"/>
      <c r="AF12" s="38"/>
      <c r="AG12" s="30"/>
      <c r="AH12" s="30"/>
      <c r="AI12" s="30"/>
      <c r="AJ12" s="30"/>
      <c r="AK12" s="33">
        <f t="shared" si="0"/>
        <v>52</v>
      </c>
      <c r="AL12" s="34">
        <v>100</v>
      </c>
      <c r="AM12" s="34">
        <v>150</v>
      </c>
      <c r="AN12" s="34">
        <v>1000</v>
      </c>
      <c r="AO12" s="17"/>
      <c r="AP12" s="17"/>
    </row>
    <row r="13" spans="1:42" x14ac:dyDescent="0.25">
      <c r="A13" s="35" t="s">
        <v>90</v>
      </c>
      <c r="B13" s="21" t="s">
        <v>36</v>
      </c>
      <c r="C13" s="21" t="s">
        <v>37</v>
      </c>
      <c r="D13" s="6"/>
      <c r="E13" s="7"/>
      <c r="F13" s="14">
        <f>'March 2026'!AL13</f>
        <v>1</v>
      </c>
      <c r="G13" s="30"/>
      <c r="H13" s="30"/>
      <c r="I13" s="30"/>
      <c r="J13" s="30"/>
      <c r="K13" s="30"/>
      <c r="L13" s="30"/>
      <c r="M13" s="30"/>
      <c r="N13" s="30"/>
      <c r="O13" s="30"/>
      <c r="P13" s="30"/>
      <c r="Q13" s="30"/>
      <c r="R13" s="30"/>
      <c r="S13" s="30"/>
      <c r="T13" s="30"/>
      <c r="U13" s="30"/>
      <c r="V13" s="38"/>
      <c r="W13" s="30"/>
      <c r="X13" s="38"/>
      <c r="Y13" s="38"/>
      <c r="Z13" s="38"/>
      <c r="AA13" s="30"/>
      <c r="AB13" s="30"/>
      <c r="AC13" s="30"/>
      <c r="AD13" s="38"/>
      <c r="AE13" s="38"/>
      <c r="AF13" s="38"/>
      <c r="AG13" s="38"/>
      <c r="AH13" s="38"/>
      <c r="AI13" s="38"/>
      <c r="AJ13" s="38"/>
      <c r="AK13" s="33">
        <f t="shared" si="0"/>
        <v>1</v>
      </c>
      <c r="AL13" s="34"/>
      <c r="AM13" s="34"/>
      <c r="AN13" s="34"/>
      <c r="AO13" s="17" t="s">
        <v>99</v>
      </c>
      <c r="AP13" s="17"/>
    </row>
    <row r="14" spans="1:42" x14ac:dyDescent="0.25">
      <c r="A14" s="35" t="s">
        <v>90</v>
      </c>
      <c r="B14" s="21" t="s">
        <v>38</v>
      </c>
      <c r="C14" s="21" t="s">
        <v>39</v>
      </c>
      <c r="D14" s="6"/>
      <c r="E14" s="7"/>
      <c r="F14" s="14">
        <f>'March 2026'!AL14</f>
        <v>51</v>
      </c>
      <c r="G14" s="30"/>
      <c r="H14" s="30"/>
      <c r="I14" s="30"/>
      <c r="J14" s="30"/>
      <c r="K14" s="30"/>
      <c r="L14" s="30"/>
      <c r="M14" s="30">
        <v>-2</v>
      </c>
      <c r="N14" s="30"/>
      <c r="O14" s="30"/>
      <c r="P14" s="30"/>
      <c r="Q14" s="30"/>
      <c r="R14" s="30"/>
      <c r="S14" s="30">
        <v>-12</v>
      </c>
      <c r="T14" s="30"/>
      <c r="U14" s="30"/>
      <c r="V14" s="30"/>
      <c r="W14" s="30"/>
      <c r="X14" s="38"/>
      <c r="Y14" s="38"/>
      <c r="Z14" s="38"/>
      <c r="AA14" s="30"/>
      <c r="AB14" s="30"/>
      <c r="AC14" s="30"/>
      <c r="AD14" s="38"/>
      <c r="AE14" s="38"/>
      <c r="AF14" s="30"/>
      <c r="AG14" s="38"/>
      <c r="AH14" s="38"/>
      <c r="AI14" s="38"/>
      <c r="AJ14" s="38"/>
      <c r="AK14" s="33">
        <f t="shared" si="0"/>
        <v>37</v>
      </c>
      <c r="AL14" s="34">
        <v>10</v>
      </c>
      <c r="AM14" s="34">
        <v>15</v>
      </c>
      <c r="AN14" s="34">
        <v>25</v>
      </c>
      <c r="AO14" s="17"/>
      <c r="AP14" s="17"/>
    </row>
    <row r="15" spans="1:42" x14ac:dyDescent="0.25">
      <c r="A15" s="35" t="s">
        <v>90</v>
      </c>
      <c r="B15" s="21" t="s">
        <v>40</v>
      </c>
      <c r="C15" s="21" t="s">
        <v>41</v>
      </c>
      <c r="D15" s="6"/>
      <c r="E15" s="7"/>
      <c r="F15" s="14">
        <f>'March 2026'!AL15</f>
        <v>414</v>
      </c>
      <c r="G15" s="30"/>
      <c r="H15" s="30"/>
      <c r="I15" s="30">
        <v>-25</v>
      </c>
      <c r="J15" s="30"/>
      <c r="K15" s="30"/>
      <c r="L15" s="30"/>
      <c r="M15" s="30"/>
      <c r="N15" s="30">
        <v>-40</v>
      </c>
      <c r="O15" s="30"/>
      <c r="P15" s="30"/>
      <c r="Q15" s="30"/>
      <c r="R15" s="30"/>
      <c r="S15" s="30"/>
      <c r="T15" s="30">
        <v>-14</v>
      </c>
      <c r="U15" s="30">
        <v>-30</v>
      </c>
      <c r="V15" s="30">
        <v>-4</v>
      </c>
      <c r="W15" s="38"/>
      <c r="X15" s="38"/>
      <c r="Y15" s="38"/>
      <c r="Z15" s="38"/>
      <c r="AA15" s="38"/>
      <c r="AB15" s="30"/>
      <c r="AC15" s="30"/>
      <c r="AD15" s="38"/>
      <c r="AE15" s="38"/>
      <c r="AF15" s="30"/>
      <c r="AG15" s="38"/>
      <c r="AH15" s="38"/>
      <c r="AI15" s="38"/>
      <c r="AJ15" s="30"/>
      <c r="AK15" s="33">
        <f t="shared" si="0"/>
        <v>301</v>
      </c>
      <c r="AL15" s="34">
        <v>50</v>
      </c>
      <c r="AM15" s="34">
        <v>100</v>
      </c>
      <c r="AN15" s="34">
        <v>300</v>
      </c>
      <c r="AO15" s="17"/>
      <c r="AP15" s="17"/>
    </row>
    <row r="16" spans="1:42" x14ac:dyDescent="0.25">
      <c r="A16" s="35" t="s">
        <v>31</v>
      </c>
      <c r="B16" s="21" t="s">
        <v>42</v>
      </c>
      <c r="C16" s="21" t="s">
        <v>43</v>
      </c>
      <c r="D16" s="6"/>
      <c r="E16" s="7"/>
      <c r="F16" s="14">
        <f>'March 2026'!AL16</f>
        <v>0</v>
      </c>
      <c r="G16" s="30"/>
      <c r="H16" s="30"/>
      <c r="I16" s="30"/>
      <c r="J16" s="30"/>
      <c r="K16" s="30"/>
      <c r="L16" s="30"/>
      <c r="M16" s="30"/>
      <c r="N16" s="30"/>
      <c r="O16" s="30"/>
      <c r="P16" s="30"/>
      <c r="Q16" s="30"/>
      <c r="R16" s="30"/>
      <c r="S16" s="30"/>
      <c r="T16" s="30"/>
      <c r="U16" s="30"/>
      <c r="V16" s="38"/>
      <c r="W16" s="38"/>
      <c r="X16" s="38"/>
      <c r="Y16" s="38"/>
      <c r="Z16" s="38"/>
      <c r="AA16" s="38"/>
      <c r="AB16" s="30"/>
      <c r="AC16" s="38"/>
      <c r="AD16" s="38"/>
      <c r="AE16" s="38"/>
      <c r="AF16" s="38"/>
      <c r="AG16" s="38"/>
      <c r="AH16" s="38"/>
      <c r="AI16" s="38"/>
      <c r="AJ16" s="38"/>
      <c r="AK16" s="33">
        <f t="shared" si="0"/>
        <v>0</v>
      </c>
      <c r="AL16" s="34"/>
      <c r="AM16" s="34"/>
      <c r="AN16" s="34"/>
      <c r="AO16" s="17" t="s">
        <v>99</v>
      </c>
      <c r="AP16" s="17"/>
    </row>
    <row r="17" spans="1:42" x14ac:dyDescent="0.25">
      <c r="A17" s="35" t="s">
        <v>31</v>
      </c>
      <c r="B17" s="21" t="s">
        <v>44</v>
      </c>
      <c r="C17" s="21" t="s">
        <v>45</v>
      </c>
      <c r="D17" s="6"/>
      <c r="E17" s="7"/>
      <c r="F17" s="14">
        <f>'March 2026'!AL17</f>
        <v>0</v>
      </c>
      <c r="G17" s="30"/>
      <c r="H17" s="30"/>
      <c r="I17" s="30"/>
      <c r="J17" s="30"/>
      <c r="K17" s="30"/>
      <c r="L17" s="30"/>
      <c r="M17" s="30"/>
      <c r="N17" s="30"/>
      <c r="O17" s="30"/>
      <c r="P17" s="30"/>
      <c r="Q17" s="30"/>
      <c r="R17" s="30"/>
      <c r="S17" s="30"/>
      <c r="T17" s="30"/>
      <c r="U17" s="30"/>
      <c r="V17" s="30"/>
      <c r="W17" s="38"/>
      <c r="X17" s="38"/>
      <c r="Y17" s="38"/>
      <c r="Z17" s="38"/>
      <c r="AA17" s="38"/>
      <c r="AB17" s="30"/>
      <c r="AC17" s="38"/>
      <c r="AD17" s="38"/>
      <c r="AE17" s="38"/>
      <c r="AF17" s="38"/>
      <c r="AG17" s="38"/>
      <c r="AH17" s="38"/>
      <c r="AI17" s="30"/>
      <c r="AJ17" s="38"/>
      <c r="AK17" s="33">
        <f t="shared" si="0"/>
        <v>0</v>
      </c>
      <c r="AL17" s="34"/>
      <c r="AM17" s="34"/>
      <c r="AN17" s="34"/>
      <c r="AO17" s="17" t="s">
        <v>99</v>
      </c>
      <c r="AP17" s="17"/>
    </row>
    <row r="18" spans="1:42" x14ac:dyDescent="0.25">
      <c r="A18" s="35" t="s">
        <v>31</v>
      </c>
      <c r="B18" s="21" t="s">
        <v>46</v>
      </c>
      <c r="C18" s="21" t="s">
        <v>47</v>
      </c>
      <c r="D18" s="6"/>
      <c r="E18" s="7"/>
      <c r="F18" s="14">
        <f>'March 2026'!AL18</f>
        <v>327</v>
      </c>
      <c r="G18" s="30"/>
      <c r="H18" s="36"/>
      <c r="I18" s="30"/>
      <c r="J18" s="30"/>
      <c r="K18" s="30"/>
      <c r="L18" s="30">
        <v>-40</v>
      </c>
      <c r="M18" s="30"/>
      <c r="N18" s="30">
        <f>-158+-4</f>
        <v>-162</v>
      </c>
      <c r="O18" s="30"/>
      <c r="P18" s="30">
        <v>-44</v>
      </c>
      <c r="Q18" s="30"/>
      <c r="R18" s="30"/>
      <c r="S18" s="30">
        <v>-28</v>
      </c>
      <c r="T18" s="30"/>
      <c r="U18" s="30"/>
      <c r="V18" s="30">
        <v>-8</v>
      </c>
      <c r="W18" s="30">
        <v>-88</v>
      </c>
      <c r="X18" s="38"/>
      <c r="Y18" s="30"/>
      <c r="Z18" s="38"/>
      <c r="AA18" s="38"/>
      <c r="AB18" s="30"/>
      <c r="AC18" s="38"/>
      <c r="AD18" s="30"/>
      <c r="AE18" s="38"/>
      <c r="AF18" s="38"/>
      <c r="AG18" s="36"/>
      <c r="AH18" s="30"/>
      <c r="AI18" s="30"/>
      <c r="AJ18" s="30"/>
      <c r="AK18" s="33">
        <f t="shared" si="0"/>
        <v>-43</v>
      </c>
      <c r="AL18" s="34">
        <v>100</v>
      </c>
      <c r="AM18" s="34">
        <v>150</v>
      </c>
      <c r="AN18" s="34">
        <v>500</v>
      </c>
      <c r="AO18" s="17"/>
      <c r="AP18" s="17"/>
    </row>
    <row r="19" spans="1:42" x14ac:dyDescent="0.25">
      <c r="A19" s="35" t="s">
        <v>31</v>
      </c>
      <c r="B19" s="21" t="s">
        <v>48</v>
      </c>
      <c r="C19" s="21" t="s">
        <v>49</v>
      </c>
      <c r="D19" s="6"/>
      <c r="E19" s="7"/>
      <c r="F19" s="14">
        <f>'March 2026'!AL19</f>
        <v>536</v>
      </c>
      <c r="G19" s="30"/>
      <c r="H19" s="36"/>
      <c r="I19" s="30"/>
      <c r="J19" s="30"/>
      <c r="K19" s="30"/>
      <c r="L19" s="30"/>
      <c r="M19" s="30"/>
      <c r="N19" s="30">
        <v>-158</v>
      </c>
      <c r="O19" s="30"/>
      <c r="P19" s="30"/>
      <c r="Q19" s="30"/>
      <c r="R19" s="30"/>
      <c r="S19" s="30">
        <v>-174</v>
      </c>
      <c r="T19" s="30"/>
      <c r="U19" s="30"/>
      <c r="V19" s="30">
        <v>-8</v>
      </c>
      <c r="W19" s="30">
        <v>-88</v>
      </c>
      <c r="X19" s="38"/>
      <c r="Y19" s="30"/>
      <c r="Z19" s="38"/>
      <c r="AA19" s="30"/>
      <c r="AB19" s="30"/>
      <c r="AC19" s="38"/>
      <c r="AD19" s="38"/>
      <c r="AE19" s="38"/>
      <c r="AF19" s="38"/>
      <c r="AG19" s="30"/>
      <c r="AH19" s="30"/>
      <c r="AI19" s="30"/>
      <c r="AJ19" s="30"/>
      <c r="AK19" s="33">
        <f t="shared" si="0"/>
        <v>108</v>
      </c>
      <c r="AL19" s="34">
        <v>100</v>
      </c>
      <c r="AM19" s="34">
        <v>150</v>
      </c>
      <c r="AN19" s="34">
        <v>500</v>
      </c>
      <c r="AO19" s="17"/>
      <c r="AP19" s="17"/>
    </row>
    <row r="20" spans="1:42" x14ac:dyDescent="0.25">
      <c r="A20" s="35" t="s">
        <v>91</v>
      </c>
      <c r="B20" s="21" t="s">
        <v>50</v>
      </c>
      <c r="C20" s="21" t="s">
        <v>51</v>
      </c>
      <c r="D20" s="6"/>
      <c r="E20" s="7" t="s">
        <v>97</v>
      </c>
      <c r="F20" s="14">
        <f>'March 2026'!AL20</f>
        <v>-110</v>
      </c>
      <c r="G20" s="30"/>
      <c r="H20" s="30"/>
      <c r="I20" s="30">
        <v>62.5</v>
      </c>
      <c r="J20" s="30"/>
      <c r="K20" s="30"/>
      <c r="L20" s="30"/>
      <c r="M20" s="30"/>
      <c r="N20" s="30"/>
      <c r="O20" s="30"/>
      <c r="P20" s="30"/>
      <c r="Q20" s="30"/>
      <c r="R20" s="30"/>
      <c r="S20" s="30"/>
      <c r="T20" s="30"/>
      <c r="U20" s="30"/>
      <c r="V20" s="30"/>
      <c r="W20" s="38"/>
      <c r="X20" s="38"/>
      <c r="Y20" s="30"/>
      <c r="Z20" s="38"/>
      <c r="AA20" s="38"/>
      <c r="AB20" s="30"/>
      <c r="AC20" s="30"/>
      <c r="AD20" s="38"/>
      <c r="AE20" s="30"/>
      <c r="AF20" s="30"/>
      <c r="AG20" s="38"/>
      <c r="AH20" s="38"/>
      <c r="AI20" s="30"/>
      <c r="AJ20" s="30"/>
      <c r="AK20" s="33">
        <f t="shared" si="0"/>
        <v>-47.5</v>
      </c>
      <c r="AL20" s="34">
        <v>150</v>
      </c>
      <c r="AM20" s="34">
        <v>250</v>
      </c>
      <c r="AN20" s="34">
        <v>1000</v>
      </c>
      <c r="AO20" s="17"/>
      <c r="AP20" s="17"/>
    </row>
    <row r="21" spans="1:42" x14ac:dyDescent="0.25">
      <c r="B21" s="21" t="s">
        <v>52</v>
      </c>
      <c r="C21" s="21" t="s">
        <v>53</v>
      </c>
      <c r="D21" s="6"/>
      <c r="E21" s="7"/>
      <c r="F21" s="14">
        <f>'March 2026'!AL21</f>
        <v>0</v>
      </c>
      <c r="G21" s="30"/>
      <c r="H21" s="30"/>
      <c r="I21" s="30"/>
      <c r="J21" s="30"/>
      <c r="K21" s="30"/>
      <c r="L21" s="30"/>
      <c r="M21" s="30"/>
      <c r="N21" s="30"/>
      <c r="O21" s="30"/>
      <c r="P21" s="30"/>
      <c r="Q21" s="30"/>
      <c r="R21" s="30"/>
      <c r="S21" s="30"/>
      <c r="T21" s="30"/>
      <c r="U21" s="30"/>
      <c r="V21" s="38"/>
      <c r="W21" s="38"/>
      <c r="X21" s="38"/>
      <c r="Y21" s="38"/>
      <c r="Z21" s="38"/>
      <c r="AA21" s="38"/>
      <c r="AB21" s="30"/>
      <c r="AC21" s="38"/>
      <c r="AD21" s="38"/>
      <c r="AE21" s="38"/>
      <c r="AF21" s="38"/>
      <c r="AG21" s="38"/>
      <c r="AH21" s="38"/>
      <c r="AI21" s="38"/>
      <c r="AJ21" s="30"/>
      <c r="AK21" s="33">
        <f t="shared" si="0"/>
        <v>0</v>
      </c>
      <c r="AL21" s="34"/>
      <c r="AM21" s="34"/>
      <c r="AN21" s="34"/>
      <c r="AO21" s="17" t="s">
        <v>99</v>
      </c>
      <c r="AP21" s="17"/>
    </row>
    <row r="22" spans="1:42" x14ac:dyDescent="0.25">
      <c r="A22" s="35" t="s">
        <v>90</v>
      </c>
      <c r="B22" s="21" t="s">
        <v>54</v>
      </c>
      <c r="C22" s="21" t="s">
        <v>55</v>
      </c>
      <c r="D22" s="6"/>
      <c r="E22" s="7"/>
      <c r="F22" s="14">
        <f>'March 2026'!AL22</f>
        <v>35</v>
      </c>
      <c r="G22" s="30"/>
      <c r="H22" s="30"/>
      <c r="I22" s="30"/>
      <c r="J22" s="30"/>
      <c r="K22" s="30"/>
      <c r="L22" s="30"/>
      <c r="M22" s="30">
        <v>-2</v>
      </c>
      <c r="N22" s="30"/>
      <c r="O22" s="30"/>
      <c r="P22" s="30"/>
      <c r="Q22" s="30"/>
      <c r="R22" s="30"/>
      <c r="S22" s="30">
        <v>-12</v>
      </c>
      <c r="T22" s="30"/>
      <c r="U22" s="30"/>
      <c r="V22" s="30"/>
      <c r="W22" s="30"/>
      <c r="X22" s="38"/>
      <c r="Y22" s="38"/>
      <c r="Z22" s="36"/>
      <c r="AA22" s="30"/>
      <c r="AB22" s="30"/>
      <c r="AC22" s="30"/>
      <c r="AD22" s="38"/>
      <c r="AE22" s="38"/>
      <c r="AF22" s="30"/>
      <c r="AG22" s="38"/>
      <c r="AH22" s="38"/>
      <c r="AI22" s="38"/>
      <c r="AJ22" s="30"/>
      <c r="AK22" s="33">
        <f t="shared" si="0"/>
        <v>21</v>
      </c>
      <c r="AL22" s="34">
        <v>10</v>
      </c>
      <c r="AM22" s="34">
        <v>15</v>
      </c>
      <c r="AN22" s="34">
        <v>25</v>
      </c>
      <c r="AO22" s="17"/>
      <c r="AP22" s="17"/>
    </row>
    <row r="23" spans="1:42" x14ac:dyDescent="0.25">
      <c r="B23" s="21" t="s">
        <v>56</v>
      </c>
      <c r="C23" s="21" t="s">
        <v>57</v>
      </c>
      <c r="D23" s="6"/>
      <c r="E23" s="7"/>
      <c r="F23" s="14">
        <f>'March 2026'!AL23</f>
        <v>0</v>
      </c>
      <c r="G23" s="30"/>
      <c r="H23" s="30"/>
      <c r="I23" s="30"/>
      <c r="J23" s="30"/>
      <c r="K23" s="30"/>
      <c r="L23" s="30"/>
      <c r="M23" s="30"/>
      <c r="N23" s="30"/>
      <c r="O23" s="30"/>
      <c r="P23" s="30"/>
      <c r="Q23" s="30"/>
      <c r="R23" s="30"/>
      <c r="S23" s="30"/>
      <c r="T23" s="30"/>
      <c r="U23" s="30"/>
      <c r="V23" s="38"/>
      <c r="W23" s="38"/>
      <c r="X23" s="38"/>
      <c r="Y23" s="38"/>
      <c r="Z23" s="38"/>
      <c r="AA23" s="38"/>
      <c r="AB23" s="30"/>
      <c r="AC23" s="38"/>
      <c r="AD23" s="38"/>
      <c r="AE23" s="38"/>
      <c r="AF23" s="38"/>
      <c r="AG23" s="38"/>
      <c r="AH23" s="38"/>
      <c r="AI23" s="38"/>
      <c r="AJ23" s="30"/>
      <c r="AK23" s="33">
        <f t="shared" si="0"/>
        <v>0</v>
      </c>
      <c r="AL23" s="34"/>
      <c r="AM23" s="34"/>
      <c r="AN23" s="34"/>
      <c r="AO23" s="17" t="s">
        <v>99</v>
      </c>
      <c r="AP23" s="17"/>
    </row>
    <row r="24" spans="1:42" x14ac:dyDescent="0.25">
      <c r="B24" s="21" t="s">
        <v>58</v>
      </c>
      <c r="C24" s="21" t="s">
        <v>59</v>
      </c>
      <c r="D24" s="6"/>
      <c r="E24" s="7"/>
      <c r="F24" s="14">
        <f>'March 2026'!AL24</f>
        <v>0</v>
      </c>
      <c r="G24" s="30"/>
      <c r="H24" s="30"/>
      <c r="I24" s="30"/>
      <c r="J24" s="30"/>
      <c r="K24" s="30"/>
      <c r="L24" s="30"/>
      <c r="M24" s="30"/>
      <c r="N24" s="30"/>
      <c r="O24" s="30"/>
      <c r="P24" s="30"/>
      <c r="Q24" s="30"/>
      <c r="R24" s="30"/>
      <c r="S24" s="30"/>
      <c r="T24" s="30"/>
      <c r="U24" s="30"/>
      <c r="V24" s="38"/>
      <c r="W24" s="38"/>
      <c r="X24" s="38"/>
      <c r="Y24" s="38"/>
      <c r="Z24" s="38"/>
      <c r="AA24" s="38"/>
      <c r="AB24" s="30"/>
      <c r="AC24" s="38"/>
      <c r="AD24" s="38"/>
      <c r="AE24" s="38"/>
      <c r="AF24" s="38"/>
      <c r="AG24" s="38"/>
      <c r="AH24" s="38"/>
      <c r="AI24" s="38"/>
      <c r="AJ24" s="38"/>
      <c r="AK24" s="33">
        <f t="shared" si="0"/>
        <v>0</v>
      </c>
      <c r="AL24" s="34"/>
      <c r="AM24" s="34"/>
      <c r="AN24" s="34"/>
      <c r="AO24" s="17" t="s">
        <v>99</v>
      </c>
      <c r="AP24" s="17"/>
    </row>
    <row r="25" spans="1:42" x14ac:dyDescent="0.25">
      <c r="A25" s="35" t="s">
        <v>31</v>
      </c>
      <c r="B25" s="21" t="s">
        <v>60</v>
      </c>
      <c r="C25" s="21" t="s">
        <v>61</v>
      </c>
      <c r="D25" s="6"/>
      <c r="E25" s="7"/>
      <c r="F25" s="14">
        <f>'March 2026'!AL25</f>
        <v>78</v>
      </c>
      <c r="G25" s="30"/>
      <c r="H25" s="30"/>
      <c r="I25" s="30"/>
      <c r="J25" s="30"/>
      <c r="K25" s="30"/>
      <c r="L25" s="30"/>
      <c r="M25" s="30"/>
      <c r="N25" s="30"/>
      <c r="O25" s="30"/>
      <c r="P25" s="30"/>
      <c r="Q25" s="30"/>
      <c r="R25" s="30"/>
      <c r="S25" s="30"/>
      <c r="T25" s="30"/>
      <c r="U25" s="30"/>
      <c r="V25" s="38"/>
      <c r="W25" s="38"/>
      <c r="X25" s="38"/>
      <c r="Y25" s="38"/>
      <c r="Z25" s="38"/>
      <c r="AA25" s="38"/>
      <c r="AB25" s="30"/>
      <c r="AC25" s="38"/>
      <c r="AD25" s="38"/>
      <c r="AE25" s="38"/>
      <c r="AF25" s="38"/>
      <c r="AG25" s="38"/>
      <c r="AH25" s="38"/>
      <c r="AI25" s="38"/>
      <c r="AJ25" s="38"/>
      <c r="AK25" s="33">
        <f t="shared" si="0"/>
        <v>78</v>
      </c>
      <c r="AL25" s="34">
        <v>25</v>
      </c>
      <c r="AM25" s="34">
        <v>50</v>
      </c>
      <c r="AN25" s="34">
        <v>100</v>
      </c>
      <c r="AO25" s="17"/>
      <c r="AP25" s="17"/>
    </row>
    <row r="26" spans="1:42" x14ac:dyDescent="0.25">
      <c r="A26" s="35" t="s">
        <v>92</v>
      </c>
      <c r="B26" s="21" t="s">
        <v>62</v>
      </c>
      <c r="C26" s="21" t="s">
        <v>63</v>
      </c>
      <c r="D26" s="6"/>
      <c r="E26" s="7"/>
      <c r="F26" s="14">
        <f>'March 2026'!AL26</f>
        <v>1</v>
      </c>
      <c r="G26" s="30"/>
      <c r="H26" s="30"/>
      <c r="I26" s="30"/>
      <c r="J26" s="30"/>
      <c r="K26" s="30"/>
      <c r="L26" s="30"/>
      <c r="M26" s="30"/>
      <c r="N26" s="30"/>
      <c r="O26" s="30"/>
      <c r="P26" s="30"/>
      <c r="Q26" s="30"/>
      <c r="R26" s="30"/>
      <c r="S26" s="30"/>
      <c r="T26" s="30"/>
      <c r="U26" s="30"/>
      <c r="V26" s="38"/>
      <c r="W26" s="38"/>
      <c r="X26" s="38"/>
      <c r="Y26" s="38"/>
      <c r="Z26" s="38"/>
      <c r="AA26" s="38"/>
      <c r="AB26" s="30"/>
      <c r="AC26" s="38"/>
      <c r="AD26" s="38"/>
      <c r="AE26" s="38"/>
      <c r="AF26" s="38"/>
      <c r="AG26" s="38"/>
      <c r="AH26" s="38"/>
      <c r="AI26" s="38"/>
      <c r="AJ26" s="38"/>
      <c r="AK26" s="33">
        <f t="shared" si="0"/>
        <v>1</v>
      </c>
      <c r="AL26" s="34"/>
      <c r="AM26" s="34"/>
      <c r="AN26" s="34"/>
      <c r="AO26" s="17" t="s">
        <v>99</v>
      </c>
      <c r="AP26" s="17"/>
    </row>
    <row r="27" spans="1:42" x14ac:dyDescent="0.25">
      <c r="A27" s="35" t="s">
        <v>92</v>
      </c>
      <c r="B27" s="21" t="s">
        <v>64</v>
      </c>
      <c r="C27" s="21" t="s">
        <v>65</v>
      </c>
      <c r="D27" s="6"/>
      <c r="E27" s="7"/>
      <c r="F27" s="14">
        <f>'March 2026'!AL27</f>
        <v>0</v>
      </c>
      <c r="G27" s="30"/>
      <c r="H27" s="30"/>
      <c r="I27" s="30"/>
      <c r="J27" s="30"/>
      <c r="K27" s="30"/>
      <c r="L27" s="30"/>
      <c r="M27" s="30"/>
      <c r="N27" s="30"/>
      <c r="O27" s="30"/>
      <c r="P27" s="30"/>
      <c r="Q27" s="30"/>
      <c r="R27" s="30"/>
      <c r="S27" s="30"/>
      <c r="T27" s="30"/>
      <c r="U27" s="30"/>
      <c r="V27" s="38"/>
      <c r="W27" s="38"/>
      <c r="X27" s="38"/>
      <c r="Y27" s="38"/>
      <c r="Z27" s="38"/>
      <c r="AA27" s="38"/>
      <c r="AB27" s="30"/>
      <c r="AC27" s="38"/>
      <c r="AD27" s="38"/>
      <c r="AE27" s="38"/>
      <c r="AF27" s="38"/>
      <c r="AG27" s="38"/>
      <c r="AH27" s="38"/>
      <c r="AI27" s="38"/>
      <c r="AJ27" s="38"/>
      <c r="AK27" s="33">
        <f t="shared" si="0"/>
        <v>0</v>
      </c>
      <c r="AL27" s="34"/>
      <c r="AM27" s="34"/>
      <c r="AN27" s="34"/>
      <c r="AO27" s="17" t="s">
        <v>99</v>
      </c>
      <c r="AP27" s="17"/>
    </row>
    <row r="28" spans="1:42" x14ac:dyDescent="0.25">
      <c r="B28" s="21" t="s">
        <v>66</v>
      </c>
      <c r="C28" s="21" t="s">
        <v>67</v>
      </c>
      <c r="D28" s="6"/>
      <c r="E28" s="7"/>
      <c r="F28" s="14">
        <f>'March 2026'!AL28</f>
        <v>0</v>
      </c>
      <c r="G28" s="30"/>
      <c r="H28" s="30"/>
      <c r="I28" s="30"/>
      <c r="J28" s="30"/>
      <c r="K28" s="30"/>
      <c r="L28" s="30"/>
      <c r="M28" s="30"/>
      <c r="N28" s="30"/>
      <c r="O28" s="30"/>
      <c r="P28" s="30"/>
      <c r="Q28" s="30"/>
      <c r="R28" s="30"/>
      <c r="S28" s="30"/>
      <c r="T28" s="30"/>
      <c r="U28" s="30"/>
      <c r="V28" s="38"/>
      <c r="W28" s="38"/>
      <c r="X28" s="38"/>
      <c r="Y28" s="38"/>
      <c r="Z28" s="38"/>
      <c r="AA28" s="38"/>
      <c r="AB28" s="30"/>
      <c r="AC28" s="38"/>
      <c r="AD28" s="38"/>
      <c r="AE28" s="38"/>
      <c r="AF28" s="38"/>
      <c r="AG28" s="38"/>
      <c r="AH28" s="38"/>
      <c r="AI28" s="38"/>
      <c r="AJ28" s="38"/>
      <c r="AK28" s="33">
        <f t="shared" si="0"/>
        <v>0</v>
      </c>
      <c r="AL28" s="34"/>
      <c r="AM28" s="34"/>
      <c r="AN28" s="34"/>
      <c r="AO28" s="17" t="s">
        <v>99</v>
      </c>
      <c r="AP28" s="17"/>
    </row>
    <row r="29" spans="1:42" x14ac:dyDescent="0.25">
      <c r="A29" s="35" t="s">
        <v>31</v>
      </c>
      <c r="B29" s="21" t="s">
        <v>68</v>
      </c>
      <c r="C29" s="21" t="s">
        <v>69</v>
      </c>
      <c r="D29" s="6"/>
      <c r="E29" s="7"/>
      <c r="F29" s="14">
        <f>'March 2026'!AL29</f>
        <v>13</v>
      </c>
      <c r="G29" s="30"/>
      <c r="H29" s="30"/>
      <c r="I29" s="30"/>
      <c r="J29" s="30"/>
      <c r="K29" s="30"/>
      <c r="L29" s="30"/>
      <c r="M29" s="30"/>
      <c r="N29" s="30"/>
      <c r="O29" s="30"/>
      <c r="P29" s="30"/>
      <c r="Q29" s="30"/>
      <c r="R29" s="30"/>
      <c r="S29" s="30"/>
      <c r="T29" s="30"/>
      <c r="U29" s="30"/>
      <c r="V29" s="38"/>
      <c r="W29" s="38"/>
      <c r="X29" s="38"/>
      <c r="Y29" s="38"/>
      <c r="Z29" s="38"/>
      <c r="AA29" s="38"/>
      <c r="AB29" s="30"/>
      <c r="AC29" s="38"/>
      <c r="AD29" s="38"/>
      <c r="AE29" s="38"/>
      <c r="AF29" s="38"/>
      <c r="AG29" s="38"/>
      <c r="AH29" s="38"/>
      <c r="AI29" s="38"/>
      <c r="AJ29" s="38"/>
      <c r="AK29" s="33">
        <f t="shared" si="0"/>
        <v>13</v>
      </c>
      <c r="AL29" s="34"/>
      <c r="AM29" s="34"/>
      <c r="AN29" s="34"/>
      <c r="AO29" s="17" t="s">
        <v>99</v>
      </c>
      <c r="AP29" s="17"/>
    </row>
    <row r="30" spans="1:42" x14ac:dyDescent="0.25">
      <c r="B30" s="21" t="s">
        <v>70</v>
      </c>
      <c r="C30" s="21" t="s">
        <v>71</v>
      </c>
      <c r="D30" s="6"/>
      <c r="E30" s="7"/>
      <c r="F30" s="14">
        <f>'March 2026'!AL30</f>
        <v>1</v>
      </c>
      <c r="G30" s="30"/>
      <c r="H30" s="30"/>
      <c r="I30" s="30"/>
      <c r="J30" s="30"/>
      <c r="K30" s="30"/>
      <c r="L30" s="30"/>
      <c r="M30" s="30"/>
      <c r="N30" s="30"/>
      <c r="O30" s="30"/>
      <c r="P30" s="30"/>
      <c r="Q30" s="30"/>
      <c r="R30" s="30"/>
      <c r="S30" s="30"/>
      <c r="T30" s="30"/>
      <c r="U30" s="30"/>
      <c r="V30" s="38"/>
      <c r="W30" s="38"/>
      <c r="X30" s="38"/>
      <c r="Y30" s="38"/>
      <c r="Z30" s="38"/>
      <c r="AA30" s="38"/>
      <c r="AB30" s="30"/>
      <c r="AC30" s="38"/>
      <c r="AD30" s="38"/>
      <c r="AE30" s="38"/>
      <c r="AF30" s="38"/>
      <c r="AG30" s="38"/>
      <c r="AH30" s="38"/>
      <c r="AI30" s="38"/>
      <c r="AJ30" s="38"/>
      <c r="AK30" s="33">
        <f t="shared" si="0"/>
        <v>1</v>
      </c>
      <c r="AL30" s="34"/>
      <c r="AM30" s="34"/>
      <c r="AN30" s="34"/>
      <c r="AO30" s="17" t="s">
        <v>99</v>
      </c>
      <c r="AP30" s="17"/>
    </row>
    <row r="31" spans="1:42" x14ac:dyDescent="0.25">
      <c r="A31" s="35" t="s">
        <v>93</v>
      </c>
      <c r="B31" s="21" t="s">
        <v>72</v>
      </c>
      <c r="C31" s="21" t="s">
        <v>73</v>
      </c>
      <c r="D31" s="6"/>
      <c r="E31" s="7"/>
      <c r="F31" s="14">
        <f>'March 2026'!AL31</f>
        <v>627</v>
      </c>
      <c r="G31" s="30"/>
      <c r="H31" s="30"/>
      <c r="I31" s="30"/>
      <c r="J31" s="30"/>
      <c r="K31" s="30"/>
      <c r="L31" s="30"/>
      <c r="M31" s="30"/>
      <c r="N31" s="30"/>
      <c r="O31" s="30"/>
      <c r="P31" s="30"/>
      <c r="Q31" s="30"/>
      <c r="R31" s="30"/>
      <c r="S31" s="30"/>
      <c r="T31" s="30"/>
      <c r="U31" s="30"/>
      <c r="V31" s="38"/>
      <c r="W31" s="38"/>
      <c r="X31" s="38"/>
      <c r="Y31" s="38"/>
      <c r="Z31" s="38"/>
      <c r="AA31" s="38"/>
      <c r="AB31" s="30"/>
      <c r="AC31" s="38"/>
      <c r="AD31" s="38"/>
      <c r="AE31" s="38"/>
      <c r="AF31" s="38"/>
      <c r="AG31" s="38"/>
      <c r="AH31" s="38"/>
      <c r="AI31" s="38"/>
      <c r="AJ31" s="38"/>
      <c r="AK31" s="33">
        <f t="shared" si="0"/>
        <v>627</v>
      </c>
      <c r="AL31" s="34"/>
      <c r="AM31" s="34"/>
      <c r="AN31" s="34"/>
      <c r="AO31" s="17" t="s">
        <v>99</v>
      </c>
      <c r="AP31" s="17"/>
    </row>
    <row r="32" spans="1:42" x14ac:dyDescent="0.25">
      <c r="B32" s="21" t="s">
        <v>74</v>
      </c>
      <c r="C32" s="21" t="s">
        <v>75</v>
      </c>
      <c r="D32" s="6"/>
      <c r="E32" s="7"/>
      <c r="F32" s="14">
        <f>'March 2026'!AL32</f>
        <v>0</v>
      </c>
      <c r="G32" s="30"/>
      <c r="H32" s="30"/>
      <c r="I32" s="30"/>
      <c r="J32" s="30"/>
      <c r="K32" s="30"/>
      <c r="L32" s="30"/>
      <c r="M32" s="30"/>
      <c r="N32" s="30"/>
      <c r="O32" s="30"/>
      <c r="P32" s="30"/>
      <c r="Q32" s="30"/>
      <c r="R32" s="30"/>
      <c r="S32" s="30"/>
      <c r="T32" s="30"/>
      <c r="U32" s="30"/>
      <c r="V32" s="38"/>
      <c r="W32" s="30"/>
      <c r="X32" s="38"/>
      <c r="Y32" s="38"/>
      <c r="Z32" s="38"/>
      <c r="AA32" s="38"/>
      <c r="AB32" s="30"/>
      <c r="AC32" s="38"/>
      <c r="AD32" s="38"/>
      <c r="AE32" s="38"/>
      <c r="AF32" s="38"/>
      <c r="AG32" s="38"/>
      <c r="AH32" s="38"/>
      <c r="AI32" s="38"/>
      <c r="AJ32" s="38"/>
      <c r="AK32" s="33">
        <f t="shared" si="0"/>
        <v>0</v>
      </c>
      <c r="AL32" s="34"/>
      <c r="AM32" s="34"/>
      <c r="AN32" s="34"/>
      <c r="AO32" s="17" t="s">
        <v>99</v>
      </c>
      <c r="AP32" s="17"/>
    </row>
    <row r="33" spans="1:42" x14ac:dyDescent="0.25">
      <c r="A33" s="35" t="s">
        <v>93</v>
      </c>
      <c r="B33" s="21" t="s">
        <v>76</v>
      </c>
      <c r="C33" s="21" t="s">
        <v>77</v>
      </c>
      <c r="D33" s="6"/>
      <c r="E33" s="7"/>
      <c r="F33" s="14">
        <f>'March 2026'!AL33</f>
        <v>13</v>
      </c>
      <c r="G33" s="30"/>
      <c r="H33" s="30"/>
      <c r="I33" s="30"/>
      <c r="J33" s="30"/>
      <c r="K33" s="30"/>
      <c r="L33" s="30"/>
      <c r="M33" s="30"/>
      <c r="N33" s="30"/>
      <c r="O33" s="30"/>
      <c r="P33" s="78">
        <v>60</v>
      </c>
      <c r="Q33" s="30"/>
      <c r="R33" s="30"/>
      <c r="S33" s="30"/>
      <c r="T33" s="30"/>
      <c r="U33" s="30"/>
      <c r="V33" s="30"/>
      <c r="W33" s="30">
        <v>-27</v>
      </c>
      <c r="X33" s="38"/>
      <c r="Y33" s="38"/>
      <c r="Z33" s="38"/>
      <c r="AA33" s="38"/>
      <c r="AB33" s="30"/>
      <c r="AC33" s="38"/>
      <c r="AD33" s="38"/>
      <c r="AE33" s="38"/>
      <c r="AF33" s="38"/>
      <c r="AG33" s="30"/>
      <c r="AH33" s="38"/>
      <c r="AI33" s="38"/>
      <c r="AJ33" s="38"/>
      <c r="AK33" s="33">
        <f t="shared" si="0"/>
        <v>46</v>
      </c>
      <c r="AL33" s="34"/>
      <c r="AM33" s="34"/>
      <c r="AN33" s="34"/>
      <c r="AO33" s="17" t="s">
        <v>99</v>
      </c>
      <c r="AP33" s="17"/>
    </row>
    <row r="34" spans="1:42" x14ac:dyDescent="0.25">
      <c r="A34" s="35" t="s">
        <v>93</v>
      </c>
      <c r="B34" s="21" t="s">
        <v>78</v>
      </c>
      <c r="C34" s="21" t="s">
        <v>79</v>
      </c>
      <c r="D34" s="6"/>
      <c r="E34" s="7"/>
      <c r="F34" s="14">
        <f>'March 2026'!AL34</f>
        <v>0</v>
      </c>
      <c r="G34" s="30"/>
      <c r="H34" s="30"/>
      <c r="I34" s="30"/>
      <c r="J34" s="30"/>
      <c r="K34" s="30"/>
      <c r="L34" s="30"/>
      <c r="M34" s="30"/>
      <c r="N34" s="30"/>
      <c r="O34" s="30"/>
      <c r="P34" s="78">
        <v>30</v>
      </c>
      <c r="Q34" s="30"/>
      <c r="R34" s="30"/>
      <c r="S34" s="30"/>
      <c r="T34" s="30"/>
      <c r="U34" s="30"/>
      <c r="V34" s="30"/>
      <c r="W34" s="30">
        <v>-54</v>
      </c>
      <c r="X34" s="38"/>
      <c r="Y34" s="38"/>
      <c r="Z34" s="38"/>
      <c r="AA34" s="38"/>
      <c r="AB34" s="30"/>
      <c r="AC34" s="38"/>
      <c r="AD34" s="38"/>
      <c r="AE34" s="38"/>
      <c r="AF34" s="38"/>
      <c r="AG34" s="30"/>
      <c r="AH34" s="38"/>
      <c r="AI34" s="38"/>
      <c r="AJ34" s="38"/>
      <c r="AK34" s="33">
        <f t="shared" si="0"/>
        <v>-24</v>
      </c>
      <c r="AL34" s="34"/>
      <c r="AM34" s="34"/>
      <c r="AN34" s="34"/>
      <c r="AO34" s="17" t="s">
        <v>100</v>
      </c>
      <c r="AP34" s="17"/>
    </row>
    <row r="35" spans="1:42" x14ac:dyDescent="0.25">
      <c r="A35" s="35" t="s">
        <v>90</v>
      </c>
      <c r="B35" s="21" t="s">
        <v>80</v>
      </c>
      <c r="C35" s="21" t="s">
        <v>81</v>
      </c>
      <c r="D35" s="6"/>
      <c r="E35" s="7"/>
      <c r="F35" s="14">
        <f>'March 2026'!AL35</f>
        <v>34</v>
      </c>
      <c r="G35" s="30"/>
      <c r="H35" s="30"/>
      <c r="I35" s="30"/>
      <c r="J35" s="30"/>
      <c r="K35" s="30"/>
      <c r="L35" s="30"/>
      <c r="M35" s="30">
        <v>-2</v>
      </c>
      <c r="N35" s="30"/>
      <c r="O35" s="30"/>
      <c r="P35" s="30"/>
      <c r="Q35" s="30"/>
      <c r="R35" s="30"/>
      <c r="S35" s="30">
        <v>-12</v>
      </c>
      <c r="T35" s="30"/>
      <c r="U35" s="30"/>
      <c r="V35" s="30"/>
      <c r="W35" s="30"/>
      <c r="X35" s="38"/>
      <c r="Y35" s="38"/>
      <c r="Z35" s="36"/>
      <c r="AA35" s="30"/>
      <c r="AB35" s="30"/>
      <c r="AC35" s="30"/>
      <c r="AD35" s="38"/>
      <c r="AE35" s="38"/>
      <c r="AF35" s="38"/>
      <c r="AG35" s="30"/>
      <c r="AH35" s="38"/>
      <c r="AI35" s="38"/>
      <c r="AJ35" s="38"/>
      <c r="AK35" s="33">
        <f t="shared" si="0"/>
        <v>20</v>
      </c>
      <c r="AL35" s="34">
        <v>10</v>
      </c>
      <c r="AM35" s="34">
        <v>15</v>
      </c>
      <c r="AN35" s="34">
        <v>25</v>
      </c>
      <c r="AO35" s="17"/>
      <c r="AP35" s="17"/>
    </row>
    <row r="36" spans="1:42" x14ac:dyDescent="0.25">
      <c r="A36" s="35" t="s">
        <v>93</v>
      </c>
      <c r="B36" s="21" t="s">
        <v>82</v>
      </c>
      <c r="C36" s="21" t="s">
        <v>83</v>
      </c>
      <c r="D36" s="6"/>
      <c r="E36" s="7"/>
      <c r="F36" s="14">
        <f>'March 2026'!AL36</f>
        <v>0</v>
      </c>
      <c r="G36" s="30"/>
      <c r="H36" s="30"/>
      <c r="I36" s="30"/>
      <c r="J36" s="30"/>
      <c r="K36" s="30"/>
      <c r="L36" s="30"/>
      <c r="M36" s="30"/>
      <c r="N36" s="30"/>
      <c r="O36" s="30"/>
      <c r="P36" s="30"/>
      <c r="Q36" s="30"/>
      <c r="R36" s="30"/>
      <c r="S36" s="30"/>
      <c r="T36" s="30"/>
      <c r="U36" s="30"/>
      <c r="V36" s="30"/>
      <c r="W36" s="38"/>
      <c r="X36" s="38"/>
      <c r="Y36" s="38"/>
      <c r="Z36" s="38"/>
      <c r="AA36" s="38"/>
      <c r="AB36" s="30"/>
      <c r="AC36" s="38"/>
      <c r="AD36" s="38"/>
      <c r="AE36" s="38"/>
      <c r="AF36" s="38"/>
      <c r="AG36" s="30"/>
      <c r="AH36" s="38"/>
      <c r="AI36" s="38"/>
      <c r="AJ36" s="38"/>
      <c r="AK36" s="33">
        <f t="shared" si="0"/>
        <v>0</v>
      </c>
      <c r="AL36" s="34"/>
      <c r="AM36" s="34"/>
      <c r="AN36" s="34"/>
      <c r="AO36" s="17" t="s">
        <v>100</v>
      </c>
      <c r="AP36" s="17"/>
    </row>
    <row r="37" spans="1:42" x14ac:dyDescent="0.25">
      <c r="A37" s="35" t="s">
        <v>94</v>
      </c>
      <c r="B37" s="21" t="s">
        <v>84</v>
      </c>
      <c r="C37" s="21" t="s">
        <v>85</v>
      </c>
      <c r="D37" s="6"/>
      <c r="E37" s="7"/>
      <c r="F37" s="14">
        <f>'March 2026'!AL37</f>
        <v>180</v>
      </c>
      <c r="G37" s="30"/>
      <c r="H37" s="30"/>
      <c r="I37" s="30"/>
      <c r="J37" s="30"/>
      <c r="K37" s="30"/>
      <c r="L37" s="30"/>
      <c r="M37" s="30">
        <v>-4</v>
      </c>
      <c r="N37" s="30"/>
      <c r="O37" s="30"/>
      <c r="P37" s="30"/>
      <c r="Q37" s="30"/>
      <c r="R37" s="30"/>
      <c r="S37" s="30">
        <v>-24</v>
      </c>
      <c r="T37" s="30"/>
      <c r="U37" s="30"/>
      <c r="V37" s="30"/>
      <c r="W37" s="30"/>
      <c r="X37" s="38"/>
      <c r="Y37" s="38"/>
      <c r="Z37" s="38"/>
      <c r="AA37" s="30"/>
      <c r="AB37" s="30"/>
      <c r="AC37" s="30"/>
      <c r="AD37" s="38"/>
      <c r="AE37" s="38"/>
      <c r="AF37" s="38"/>
      <c r="AG37" s="30"/>
      <c r="AH37" s="38"/>
      <c r="AI37" s="38"/>
      <c r="AJ37" s="38"/>
      <c r="AK37" s="33">
        <f t="shared" si="0"/>
        <v>152</v>
      </c>
      <c r="AL37" s="34">
        <v>50</v>
      </c>
      <c r="AM37" s="34">
        <v>50</v>
      </c>
      <c r="AN37" s="34">
        <v>100</v>
      </c>
      <c r="AO37" s="17"/>
      <c r="AP37" s="17"/>
    </row>
    <row r="38" spans="1:42" x14ac:dyDescent="0.25">
      <c r="B38" s="21" t="s">
        <v>86</v>
      </c>
      <c r="C38" s="21" t="s">
        <v>87</v>
      </c>
      <c r="D38" s="6"/>
      <c r="E38" s="7" t="s">
        <v>97</v>
      </c>
      <c r="F38" s="14">
        <f>'March 2026'!AL38</f>
        <v>29.38</v>
      </c>
      <c r="G38" s="30"/>
      <c r="H38" s="30"/>
      <c r="I38" s="30"/>
      <c r="J38" s="30"/>
      <c r="K38" s="30"/>
      <c r="L38" s="30"/>
      <c r="M38" s="30"/>
      <c r="N38" s="30"/>
      <c r="O38" s="30"/>
      <c r="P38" s="30"/>
      <c r="Q38" s="30"/>
      <c r="R38" s="30"/>
      <c r="S38" s="30"/>
      <c r="T38" s="30"/>
      <c r="U38" s="30"/>
      <c r="V38" s="38"/>
      <c r="W38" s="38"/>
      <c r="X38" s="38"/>
      <c r="Y38" s="38"/>
      <c r="Z38" s="38"/>
      <c r="AA38" s="38"/>
      <c r="AB38" s="30"/>
      <c r="AC38" s="38"/>
      <c r="AD38" s="38"/>
      <c r="AE38" s="38"/>
      <c r="AF38" s="38"/>
      <c r="AG38" s="30"/>
      <c r="AH38" s="38"/>
      <c r="AI38" s="38"/>
      <c r="AJ38" s="38"/>
      <c r="AK38" s="33">
        <f t="shared" si="0"/>
        <v>29.38</v>
      </c>
      <c r="AL38" s="34"/>
      <c r="AM38" s="34"/>
      <c r="AN38" s="34"/>
      <c r="AO38" s="17" t="s">
        <v>99</v>
      </c>
      <c r="AP38" s="17"/>
    </row>
    <row r="39" spans="1:42" x14ac:dyDescent="0.25">
      <c r="A39" s="35" t="s">
        <v>92</v>
      </c>
      <c r="B39" s="39"/>
      <c r="C39" s="40" t="s">
        <v>88</v>
      </c>
      <c r="D39" s="6"/>
      <c r="E39" s="7"/>
      <c r="F39" s="14">
        <f>'March 2026'!AL39</f>
        <v>0</v>
      </c>
      <c r="G39" s="30"/>
      <c r="H39" s="30"/>
      <c r="I39" s="30"/>
      <c r="J39" s="30"/>
      <c r="K39" s="30"/>
      <c r="L39" s="30"/>
      <c r="M39" s="30"/>
      <c r="N39" s="30"/>
      <c r="O39" s="30"/>
      <c r="P39" s="30"/>
      <c r="Q39" s="30"/>
      <c r="R39" s="30"/>
      <c r="S39" s="30"/>
      <c r="T39" s="30"/>
      <c r="U39" s="30"/>
      <c r="V39" s="38"/>
      <c r="W39" s="38"/>
      <c r="X39" s="38"/>
      <c r="Y39" s="38"/>
      <c r="Z39" s="38"/>
      <c r="AA39" s="38"/>
      <c r="AB39" s="30"/>
      <c r="AC39" s="38"/>
      <c r="AD39" s="38"/>
      <c r="AE39" s="38"/>
      <c r="AF39" s="38"/>
      <c r="AG39" s="30"/>
      <c r="AH39" s="38"/>
      <c r="AI39" s="38"/>
      <c r="AJ39" s="38"/>
      <c r="AK39" s="33">
        <f t="shared" si="0"/>
        <v>0</v>
      </c>
      <c r="AL39" s="34"/>
      <c r="AM39" s="34"/>
      <c r="AN39" s="34"/>
      <c r="AO39" s="17"/>
      <c r="AP39" s="17"/>
    </row>
    <row r="40" spans="1:42" x14ac:dyDescent="0.25">
      <c r="A40" s="35" t="s">
        <v>31</v>
      </c>
      <c r="B40" s="39"/>
      <c r="C40" s="40" t="s">
        <v>89</v>
      </c>
      <c r="D40" s="6"/>
      <c r="E40" s="7"/>
      <c r="F40" s="14">
        <f>'March 2026'!AL40</f>
        <v>0</v>
      </c>
      <c r="G40" s="30"/>
      <c r="H40" s="30"/>
      <c r="I40" s="30"/>
      <c r="J40" s="30"/>
      <c r="K40" s="30"/>
      <c r="L40" s="30"/>
      <c r="M40" s="30"/>
      <c r="N40" s="30"/>
      <c r="O40" s="30"/>
      <c r="P40" s="30"/>
      <c r="Q40" s="30"/>
      <c r="R40" s="30"/>
      <c r="S40" s="30"/>
      <c r="T40" s="30"/>
      <c r="U40" s="30"/>
      <c r="V40" s="38"/>
      <c r="W40" s="38"/>
      <c r="X40" s="38"/>
      <c r="Y40" s="38"/>
      <c r="Z40" s="38"/>
      <c r="AA40" s="38"/>
      <c r="AB40" s="30"/>
      <c r="AC40" s="38"/>
      <c r="AD40" s="38"/>
      <c r="AE40" s="38"/>
      <c r="AF40" s="38"/>
      <c r="AG40" s="38"/>
      <c r="AH40" s="38"/>
      <c r="AI40" s="38"/>
      <c r="AJ40" s="38"/>
      <c r="AK40" s="33">
        <f t="shared" si="0"/>
        <v>0</v>
      </c>
      <c r="AL40" s="34"/>
      <c r="AM40" s="34"/>
      <c r="AN40" s="34"/>
      <c r="AO40" s="17"/>
      <c r="AP40" s="17"/>
    </row>
    <row r="41" spans="1:42" x14ac:dyDescent="0.25">
      <c r="B41" s="21"/>
      <c r="C41" s="21" t="s">
        <v>98</v>
      </c>
      <c r="D41" s="12"/>
      <c r="E41" s="3"/>
      <c r="F41" s="14">
        <f>'March 2026'!AL41</f>
        <v>0</v>
      </c>
      <c r="G41" s="30"/>
      <c r="H41" s="30"/>
      <c r="I41" s="30"/>
      <c r="J41" s="30"/>
      <c r="K41" s="30"/>
      <c r="L41" s="30"/>
      <c r="M41" s="30"/>
      <c r="N41" s="30"/>
      <c r="O41" s="30"/>
      <c r="P41" s="30"/>
      <c r="Q41" s="30"/>
      <c r="R41" s="30"/>
      <c r="S41" s="30"/>
      <c r="T41" s="30"/>
      <c r="U41" s="30"/>
      <c r="V41" s="30"/>
      <c r="W41" s="30"/>
      <c r="X41" s="30"/>
      <c r="Y41" s="30"/>
      <c r="Z41" s="30"/>
      <c r="AA41" s="30"/>
      <c r="AB41" s="30"/>
      <c r="AC41" s="30"/>
      <c r="AD41" s="30"/>
      <c r="AE41" s="30"/>
      <c r="AF41" s="30"/>
      <c r="AG41" s="30"/>
      <c r="AH41" s="30"/>
      <c r="AI41" s="30"/>
      <c r="AJ41" s="30"/>
      <c r="AK41" s="33">
        <f t="shared" si="0"/>
        <v>0</v>
      </c>
    </row>
    <row r="42" spans="1:42" x14ac:dyDescent="0.25">
      <c r="B42" s="21"/>
      <c r="C42" s="21"/>
      <c r="D42" s="12"/>
      <c r="E42" s="3"/>
      <c r="F42" s="4"/>
      <c r="G42" s="30"/>
      <c r="H42" s="30"/>
      <c r="I42" s="30"/>
      <c r="J42" s="30"/>
      <c r="K42" s="30"/>
      <c r="L42" s="30"/>
      <c r="M42" s="30"/>
      <c r="N42" s="30"/>
      <c r="O42" s="30"/>
      <c r="P42" s="30"/>
      <c r="Q42" s="30"/>
      <c r="R42" s="30"/>
      <c r="S42" s="30"/>
      <c r="T42" s="30"/>
      <c r="U42" s="30"/>
      <c r="V42" s="30"/>
      <c r="W42" s="30"/>
      <c r="X42" s="30"/>
      <c r="Y42" s="30"/>
      <c r="Z42" s="30"/>
      <c r="AA42" s="30"/>
      <c r="AB42" s="30"/>
      <c r="AC42" s="30"/>
      <c r="AD42" s="30"/>
      <c r="AE42" s="30"/>
      <c r="AF42" s="30"/>
      <c r="AG42" s="30"/>
      <c r="AH42" s="30"/>
      <c r="AI42" s="30"/>
      <c r="AJ42" s="30"/>
      <c r="AK42" s="33">
        <f t="shared" si="0"/>
        <v>0</v>
      </c>
    </row>
    <row r="43" spans="1:42" x14ac:dyDescent="0.25">
      <c r="B43" s="21"/>
      <c r="C43" s="21"/>
      <c r="D43" s="12"/>
      <c r="E43" s="3"/>
      <c r="F43" s="4"/>
      <c r="G43" s="30"/>
      <c r="H43" s="30"/>
      <c r="I43" s="30"/>
      <c r="J43" s="30"/>
      <c r="K43" s="30"/>
      <c r="L43" s="30"/>
      <c r="M43" s="30"/>
      <c r="N43" s="30"/>
      <c r="O43" s="30"/>
      <c r="P43" s="30"/>
      <c r="Q43" s="30"/>
      <c r="R43" s="30"/>
      <c r="S43" s="30"/>
      <c r="T43" s="30"/>
      <c r="U43" s="30"/>
      <c r="V43" s="30"/>
      <c r="W43" s="30"/>
      <c r="X43" s="30"/>
      <c r="Y43" s="30"/>
      <c r="Z43" s="30"/>
      <c r="AA43" s="30"/>
      <c r="AB43" s="30"/>
      <c r="AC43" s="30"/>
      <c r="AD43" s="30"/>
      <c r="AE43" s="30"/>
      <c r="AF43" s="30"/>
      <c r="AG43" s="30"/>
      <c r="AH43" s="30"/>
      <c r="AI43" s="30"/>
      <c r="AJ43" s="30"/>
      <c r="AK43" s="33">
        <f t="shared" si="0"/>
        <v>0</v>
      </c>
    </row>
    <row r="44" spans="1:42" x14ac:dyDescent="0.25">
      <c r="B44" s="21"/>
      <c r="C44" s="21"/>
      <c r="D44" s="12"/>
      <c r="E44" s="3"/>
      <c r="F44" s="4"/>
      <c r="G44" s="30"/>
      <c r="H44" s="30"/>
      <c r="I44" s="30"/>
      <c r="J44" s="30"/>
      <c r="K44" s="30"/>
      <c r="L44" s="30"/>
      <c r="M44" s="30"/>
      <c r="N44" s="30"/>
      <c r="O44" s="30"/>
      <c r="P44" s="30"/>
      <c r="Q44" s="30"/>
      <c r="R44" s="30"/>
      <c r="S44" s="30"/>
      <c r="T44" s="30"/>
      <c r="U44" s="30"/>
      <c r="V44" s="30"/>
      <c r="W44" s="30"/>
      <c r="X44" s="30"/>
      <c r="Y44" s="30"/>
      <c r="Z44" s="30"/>
      <c r="AA44" s="30"/>
      <c r="AB44" s="30"/>
      <c r="AC44" s="30"/>
      <c r="AD44" s="30"/>
      <c r="AE44" s="30"/>
      <c r="AF44" s="30"/>
      <c r="AG44" s="30"/>
      <c r="AH44" s="30"/>
      <c r="AI44" s="30"/>
      <c r="AJ44" s="30"/>
      <c r="AK44" s="33">
        <f t="shared" si="0"/>
        <v>0</v>
      </c>
    </row>
    <row r="45" spans="1:42" x14ac:dyDescent="0.25">
      <c r="B45" s="21"/>
      <c r="C45" s="21"/>
      <c r="D45" s="12"/>
      <c r="E45" s="3"/>
      <c r="F45" s="4"/>
      <c r="G45" s="30"/>
      <c r="H45" s="30"/>
      <c r="I45" s="30"/>
      <c r="J45" s="30"/>
      <c r="K45" s="30"/>
      <c r="L45" s="30"/>
      <c r="M45" s="30"/>
      <c r="N45" s="30"/>
      <c r="O45" s="30"/>
      <c r="P45" s="30"/>
      <c r="Q45" s="30"/>
      <c r="R45" s="30"/>
      <c r="S45" s="30"/>
      <c r="T45" s="30"/>
      <c r="U45" s="30"/>
      <c r="V45" s="30"/>
      <c r="W45" s="30"/>
      <c r="X45" s="30"/>
      <c r="Y45" s="30"/>
      <c r="Z45" s="30"/>
      <c r="AA45" s="30"/>
      <c r="AB45" s="30"/>
      <c r="AC45" s="30"/>
      <c r="AD45" s="30"/>
      <c r="AE45" s="30"/>
      <c r="AF45" s="30"/>
      <c r="AG45" s="30"/>
      <c r="AH45" s="30"/>
      <c r="AI45" s="30"/>
      <c r="AJ45" s="30"/>
      <c r="AK45" s="33">
        <f t="shared" si="0"/>
        <v>0</v>
      </c>
    </row>
    <row r="46" spans="1:42" x14ac:dyDescent="0.25">
      <c r="A46" s="32"/>
      <c r="B46" s="21"/>
      <c r="C46" s="21"/>
      <c r="D46" s="12"/>
      <c r="E46" s="3"/>
      <c r="F46" s="4"/>
      <c r="G46" s="30"/>
      <c r="H46" s="30"/>
      <c r="I46" s="30"/>
      <c r="J46" s="30"/>
      <c r="K46" s="30"/>
      <c r="L46" s="30"/>
      <c r="M46" s="30"/>
      <c r="N46" s="30"/>
      <c r="O46" s="30"/>
      <c r="P46" s="30"/>
      <c r="Q46" s="30"/>
      <c r="R46" s="30"/>
      <c r="S46" s="30"/>
      <c r="T46" s="30"/>
      <c r="U46" s="30"/>
      <c r="V46" s="30"/>
      <c r="W46" s="30"/>
      <c r="X46" s="30"/>
      <c r="Y46" s="30"/>
      <c r="Z46" s="30"/>
      <c r="AA46" s="30"/>
      <c r="AB46" s="30"/>
      <c r="AC46" s="30"/>
      <c r="AD46" s="30"/>
      <c r="AE46" s="30"/>
      <c r="AF46" s="30"/>
      <c r="AG46" s="30"/>
      <c r="AH46" s="30"/>
      <c r="AI46" s="30"/>
      <c r="AJ46" s="30"/>
      <c r="AK46" s="33">
        <f t="shared" si="0"/>
        <v>0</v>
      </c>
    </row>
    <row r="47" spans="1:42" x14ac:dyDescent="0.25">
      <c r="A47" s="32"/>
      <c r="B47" s="21"/>
      <c r="C47" s="21"/>
      <c r="D47" s="12"/>
      <c r="E47" s="3"/>
      <c r="F47" s="4"/>
      <c r="G47" s="12"/>
      <c r="H47" s="12"/>
      <c r="I47" s="12"/>
      <c r="J47" s="12"/>
      <c r="K47" s="12"/>
      <c r="L47" s="12"/>
      <c r="M47" s="12"/>
      <c r="N47" s="12"/>
      <c r="O47" s="12"/>
      <c r="P47" s="12"/>
      <c r="Q47" s="12"/>
      <c r="R47" s="12"/>
      <c r="S47" s="12"/>
      <c r="T47" s="12"/>
      <c r="U47" s="12"/>
      <c r="V47" s="12"/>
      <c r="W47" s="12"/>
      <c r="X47" s="12"/>
      <c r="Y47" s="12"/>
      <c r="Z47" s="12"/>
      <c r="AA47" s="12"/>
      <c r="AB47" s="12"/>
      <c r="AC47" s="12"/>
      <c r="AD47" s="12"/>
      <c r="AE47" s="12"/>
      <c r="AF47" s="12"/>
      <c r="AG47" s="12"/>
      <c r="AH47" s="12"/>
      <c r="AI47" s="12"/>
      <c r="AJ47" s="12"/>
      <c r="AK47" s="33">
        <f t="shared" si="0"/>
        <v>0</v>
      </c>
    </row>
    <row r="48" spans="1:42" x14ac:dyDescent="0.25">
      <c r="A48" s="32"/>
      <c r="B48" s="21"/>
      <c r="C48" s="21"/>
      <c r="D48" s="12"/>
      <c r="E48" s="3"/>
      <c r="F48" s="4"/>
      <c r="G48" s="12"/>
      <c r="H48" s="12"/>
      <c r="I48" s="12"/>
      <c r="J48" s="12"/>
      <c r="K48" s="12"/>
      <c r="L48" s="12"/>
      <c r="M48" s="12"/>
      <c r="N48" s="12"/>
      <c r="O48" s="12"/>
      <c r="P48" s="12"/>
      <c r="Q48" s="12"/>
      <c r="R48" s="12"/>
      <c r="S48" s="12"/>
      <c r="T48" s="12"/>
      <c r="U48" s="12"/>
      <c r="V48" s="12"/>
      <c r="W48" s="12"/>
      <c r="X48" s="12"/>
      <c r="Y48" s="12"/>
      <c r="Z48" s="12"/>
      <c r="AA48" s="12"/>
      <c r="AB48" s="12"/>
      <c r="AC48" s="12"/>
      <c r="AD48" s="12"/>
      <c r="AE48" s="12"/>
      <c r="AF48" s="12"/>
      <c r="AG48" s="12"/>
      <c r="AH48" s="12"/>
      <c r="AI48" s="12"/>
      <c r="AJ48" s="12"/>
      <c r="AK48" s="26">
        <f>SUM(G48:AJ48)+F48</f>
        <v>0</v>
      </c>
    </row>
    <row r="49" spans="1:42" x14ac:dyDescent="0.25">
      <c r="A49" s="32"/>
      <c r="B49" s="21"/>
      <c r="C49" s="21"/>
      <c r="D49" s="12"/>
      <c r="E49" s="3"/>
      <c r="F49" s="4"/>
      <c r="G49" s="12"/>
      <c r="H49" s="12"/>
      <c r="I49" s="12"/>
      <c r="J49" s="12"/>
      <c r="K49" s="12"/>
      <c r="L49" s="12"/>
      <c r="M49" s="12"/>
      <c r="N49" s="12"/>
      <c r="O49" s="12"/>
      <c r="P49" s="12"/>
      <c r="Q49" s="12"/>
      <c r="R49" s="12"/>
      <c r="S49" s="12"/>
      <c r="T49" s="12"/>
      <c r="U49" s="12"/>
      <c r="V49" s="12"/>
      <c r="W49" s="12"/>
      <c r="X49" s="12"/>
      <c r="Y49" s="12"/>
      <c r="Z49" s="12"/>
      <c r="AA49" s="12"/>
      <c r="AB49" s="12"/>
      <c r="AC49" s="12"/>
      <c r="AD49" s="12"/>
      <c r="AE49" s="12"/>
      <c r="AF49" s="12"/>
      <c r="AG49" s="12"/>
      <c r="AH49" s="12"/>
      <c r="AI49" s="12"/>
      <c r="AJ49" s="12"/>
      <c r="AK49" s="26">
        <f>SUM(G49:AJ49)+F49</f>
        <v>0</v>
      </c>
    </row>
    <row r="50" spans="1:42" x14ac:dyDescent="0.25">
      <c r="A50" s="32"/>
      <c r="B50" s="21"/>
      <c r="C50" s="21"/>
      <c r="D50" s="12"/>
      <c r="E50" s="3"/>
      <c r="F50" s="4"/>
      <c r="G50" s="12"/>
      <c r="H50" s="12"/>
      <c r="I50" s="12"/>
      <c r="J50" s="12"/>
      <c r="K50" s="12"/>
      <c r="L50" s="12"/>
      <c r="M50" s="12"/>
      <c r="N50" s="12"/>
      <c r="O50" s="12"/>
      <c r="P50" s="12"/>
      <c r="Q50" s="12"/>
      <c r="R50" s="12"/>
      <c r="S50" s="12"/>
      <c r="T50" s="12"/>
      <c r="U50" s="12"/>
      <c r="V50" s="12"/>
      <c r="W50" s="12"/>
      <c r="X50" s="12"/>
      <c r="Y50" s="12"/>
      <c r="Z50" s="12"/>
      <c r="AA50" s="12"/>
      <c r="AB50" s="12"/>
      <c r="AC50" s="12"/>
      <c r="AD50" s="12"/>
      <c r="AE50" s="12"/>
      <c r="AF50" s="12"/>
      <c r="AG50" s="12"/>
      <c r="AH50" s="13"/>
      <c r="AI50" s="12"/>
      <c r="AJ50" s="12"/>
      <c r="AK50" s="26">
        <f>SUM(G50:AJ50)+F50</f>
        <v>0</v>
      </c>
    </row>
    <row r="51" spans="1:42" x14ac:dyDescent="0.25">
      <c r="A51" s="32"/>
      <c r="B51" s="21"/>
      <c r="C51" s="21"/>
      <c r="D51" s="12"/>
      <c r="E51" s="3"/>
      <c r="F51" s="4"/>
      <c r="G51" s="12"/>
      <c r="H51" s="12"/>
      <c r="I51" s="12"/>
      <c r="J51" s="12"/>
      <c r="K51" s="12"/>
      <c r="L51" s="12"/>
      <c r="M51" s="12"/>
      <c r="N51" s="12"/>
      <c r="O51" s="12"/>
      <c r="P51" s="12"/>
      <c r="Q51" s="12"/>
      <c r="R51" s="12"/>
      <c r="S51" s="12"/>
      <c r="T51" s="12"/>
      <c r="U51" s="12"/>
      <c r="V51" s="12"/>
      <c r="W51" s="12"/>
      <c r="X51" s="12"/>
      <c r="Y51" s="12"/>
      <c r="Z51" s="12"/>
      <c r="AA51" s="12"/>
      <c r="AB51" s="12"/>
      <c r="AC51" s="12"/>
      <c r="AD51" s="12"/>
      <c r="AE51" s="12"/>
      <c r="AF51" s="12"/>
      <c r="AG51" s="12"/>
      <c r="AH51" s="13"/>
      <c r="AI51" s="12"/>
      <c r="AJ51" s="12"/>
      <c r="AK51" s="26">
        <f>SUM(G51:AJ51)+F51</f>
        <v>0</v>
      </c>
    </row>
    <row r="52" spans="1:42" x14ac:dyDescent="0.25">
      <c r="A52" s="32"/>
      <c r="B52" s="21"/>
      <c r="C52" s="21"/>
      <c r="D52" s="12"/>
      <c r="E52" s="12"/>
      <c r="F52" s="12"/>
      <c r="G52" s="12"/>
      <c r="H52" s="12"/>
      <c r="I52" s="12"/>
      <c r="J52" s="12"/>
      <c r="K52" s="12"/>
      <c r="L52" s="12"/>
      <c r="M52" s="12"/>
      <c r="N52" s="12"/>
      <c r="O52" s="12"/>
      <c r="P52" s="12"/>
      <c r="Q52" s="12"/>
      <c r="R52" s="12"/>
      <c r="S52" s="12"/>
      <c r="T52" s="12"/>
      <c r="U52" s="12"/>
      <c r="V52" s="12"/>
      <c r="W52" s="12"/>
      <c r="X52" s="12"/>
      <c r="Y52" s="12"/>
      <c r="Z52" s="12"/>
      <c r="AA52" s="12"/>
      <c r="AB52" s="12"/>
      <c r="AC52" s="12"/>
      <c r="AD52" s="12"/>
      <c r="AE52" s="12"/>
      <c r="AF52" s="12"/>
      <c r="AG52" s="12"/>
      <c r="AH52" s="12"/>
      <c r="AI52" s="12"/>
      <c r="AJ52" s="12"/>
      <c r="AK52" s="26">
        <f>F52+SUM(G52:AJ52)</f>
        <v>0</v>
      </c>
    </row>
    <row r="53" spans="1:42" x14ac:dyDescent="0.25">
      <c r="A53" s="12"/>
      <c r="B53" s="12"/>
      <c r="C53" s="12"/>
      <c r="D53" s="12"/>
      <c r="E53" s="12"/>
      <c r="F53" s="12"/>
      <c r="G53" s="12"/>
      <c r="H53" s="12"/>
      <c r="I53" s="12"/>
      <c r="J53" s="12"/>
      <c r="K53" s="12"/>
      <c r="L53" s="12"/>
      <c r="M53" s="12"/>
      <c r="N53" s="12"/>
      <c r="O53" s="12"/>
      <c r="P53" s="12"/>
      <c r="Q53" s="12"/>
      <c r="R53" s="12"/>
      <c r="S53" s="12"/>
      <c r="T53" s="12"/>
      <c r="U53" s="12"/>
      <c r="V53" s="12"/>
      <c r="W53" s="12"/>
      <c r="X53" s="12"/>
      <c r="Y53" s="12"/>
      <c r="Z53" s="12"/>
      <c r="AA53" s="12"/>
      <c r="AB53" s="12"/>
      <c r="AC53" s="12"/>
      <c r="AD53" s="12"/>
      <c r="AE53" s="12"/>
      <c r="AF53" s="12"/>
      <c r="AG53" s="12"/>
      <c r="AH53" s="12"/>
      <c r="AI53" s="12"/>
      <c r="AJ53" s="12"/>
      <c r="AK53" s="26">
        <f>F53+SUM(G53:AJ53)</f>
        <v>0</v>
      </c>
    </row>
    <row r="54" spans="1:42" x14ac:dyDescent="0.25">
      <c r="A54" s="3"/>
      <c r="B54" s="29"/>
      <c r="C54" s="29"/>
      <c r="D54" s="29"/>
      <c r="E54" s="3"/>
      <c r="F54" s="3"/>
      <c r="G54" s="3"/>
      <c r="H54" s="3"/>
      <c r="I54" s="3"/>
      <c r="J54" s="3"/>
      <c r="K54" s="3"/>
      <c r="L54" s="3"/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  <c r="X54" s="3"/>
      <c r="Y54" s="3"/>
      <c r="Z54" s="3"/>
      <c r="AA54" s="3"/>
      <c r="AB54" s="12"/>
      <c r="AC54" s="3"/>
      <c r="AD54" s="3"/>
      <c r="AE54" s="3"/>
      <c r="AF54" s="3"/>
      <c r="AG54" s="3"/>
      <c r="AH54" s="3"/>
      <c r="AI54" s="3"/>
      <c r="AJ54" s="3"/>
      <c r="AK54" s="1"/>
      <c r="AL54" s="1"/>
      <c r="AM54" s="1"/>
      <c r="AN54" s="1"/>
      <c r="AO54" s="1"/>
      <c r="AP54" s="1"/>
    </row>
    <row r="55" spans="1:42" x14ac:dyDescent="0.25">
      <c r="A55" s="3"/>
      <c r="B55" s="29"/>
      <c r="C55" s="29"/>
      <c r="D55" s="29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  <c r="X55" s="3"/>
      <c r="Y55" s="3"/>
      <c r="Z55" s="3"/>
      <c r="AA55" s="3"/>
      <c r="AB55" s="12"/>
      <c r="AC55" s="3"/>
      <c r="AD55" s="3"/>
      <c r="AE55" s="3"/>
      <c r="AF55" s="3"/>
      <c r="AG55" s="3"/>
      <c r="AH55" s="3"/>
      <c r="AI55" s="3"/>
      <c r="AJ55" s="3"/>
      <c r="AK55" s="1"/>
      <c r="AL55" s="1"/>
      <c r="AM55" s="1"/>
      <c r="AN55" s="1"/>
      <c r="AO55" s="1"/>
      <c r="AP55" s="1"/>
    </row>
    <row r="56" spans="1:42" ht="32.25" thickBot="1" x14ac:dyDescent="0.3">
      <c r="A56" s="1"/>
      <c r="B56" s="8" t="s">
        <v>21</v>
      </c>
      <c r="C56" s="20"/>
      <c r="D56" s="20"/>
      <c r="E56" s="10" t="s">
        <v>22</v>
      </c>
      <c r="F56" s="23" t="s">
        <v>23</v>
      </c>
      <c r="G56" s="27" t="s">
        <v>24</v>
      </c>
      <c r="H56" s="28"/>
      <c r="I56" s="1"/>
      <c r="J56" s="1"/>
      <c r="K56" s="1"/>
      <c r="L56" s="1"/>
      <c r="M56" s="1"/>
      <c r="N56" s="1"/>
      <c r="O56" s="1"/>
      <c r="P56" s="1"/>
      <c r="Q56" s="1"/>
      <c r="R56" s="1"/>
      <c r="S56" s="1"/>
      <c r="T56" s="1"/>
      <c r="U56" s="1"/>
      <c r="V56" s="1"/>
      <c r="W56" s="1"/>
      <c r="X56" s="1"/>
      <c r="Y56" s="1"/>
      <c r="Z56" s="1"/>
      <c r="AA56" s="1"/>
      <c r="AB56" s="12"/>
      <c r="AC56" s="1"/>
      <c r="AD56" s="1"/>
      <c r="AE56" s="1"/>
      <c r="AF56" s="1"/>
      <c r="AG56" s="1"/>
      <c r="AH56" s="1"/>
      <c r="AI56" s="1"/>
      <c r="AJ56" s="1"/>
      <c r="AK56" s="1"/>
      <c r="AL56" s="1"/>
      <c r="AM56" s="1"/>
      <c r="AN56" s="1"/>
      <c r="AO56" s="1"/>
      <c r="AP56" s="1"/>
    </row>
    <row r="57" spans="1:42" ht="16.5" thickBot="1" x14ac:dyDescent="0.3">
      <c r="A57" s="1"/>
      <c r="B57" s="8" t="s">
        <v>25</v>
      </c>
      <c r="C57" s="20"/>
      <c r="D57" s="20"/>
      <c r="E57" s="9"/>
      <c r="F57" s="22"/>
      <c r="G57" s="59"/>
      <c r="H57" s="60"/>
      <c r="I57" s="1"/>
      <c r="J57" s="1"/>
      <c r="K57" s="1"/>
      <c r="L57" s="1"/>
      <c r="M57" s="1"/>
      <c r="N57" s="1"/>
      <c r="O57" s="1"/>
      <c r="P57" s="1"/>
      <c r="Q57" s="1"/>
      <c r="R57" s="1"/>
      <c r="S57" s="1"/>
      <c r="T57" s="1"/>
      <c r="U57" s="1"/>
      <c r="V57" s="1"/>
      <c r="W57" s="1"/>
      <c r="X57" s="1"/>
      <c r="Y57" s="1"/>
      <c r="Z57" s="1"/>
      <c r="AA57" s="1"/>
      <c r="AB57" s="12"/>
      <c r="AC57" s="1"/>
      <c r="AD57" s="1"/>
      <c r="AE57" s="1"/>
      <c r="AF57" s="1"/>
      <c r="AG57" s="1"/>
      <c r="AH57" s="1"/>
      <c r="AI57" s="1"/>
      <c r="AJ57" s="1"/>
      <c r="AK57" s="1"/>
      <c r="AL57" s="1"/>
      <c r="AM57" s="1"/>
      <c r="AN57" s="1"/>
      <c r="AO57" s="1"/>
      <c r="AP57" s="1"/>
    </row>
    <row r="58" spans="1:42" ht="32.25" thickBot="1" x14ac:dyDescent="0.3">
      <c r="A58" s="1"/>
      <c r="B58" s="8" t="s">
        <v>26</v>
      </c>
      <c r="C58" s="20"/>
      <c r="D58" s="20"/>
      <c r="E58" s="10"/>
      <c r="F58" s="23"/>
      <c r="G58" s="61"/>
      <c r="H58" s="62"/>
      <c r="I58" s="1"/>
      <c r="J58" s="1"/>
      <c r="K58" s="1"/>
      <c r="L58" s="1"/>
      <c r="M58" s="1"/>
      <c r="N58" s="1"/>
      <c r="O58" s="1"/>
      <c r="P58" s="1"/>
      <c r="Q58" s="1"/>
      <c r="R58" s="1"/>
      <c r="S58" s="1"/>
      <c r="T58" s="1"/>
      <c r="U58" s="1"/>
      <c r="V58" s="1"/>
      <c r="W58" s="1"/>
      <c r="X58" s="1"/>
      <c r="Y58" s="1"/>
      <c r="Z58" s="1"/>
      <c r="AA58" s="1"/>
      <c r="AB58" s="12"/>
      <c r="AC58" s="1"/>
      <c r="AD58" s="1"/>
      <c r="AE58" s="1"/>
      <c r="AF58" s="1"/>
      <c r="AG58" s="1"/>
      <c r="AH58" s="1"/>
      <c r="AI58" s="1"/>
      <c r="AJ58" s="1"/>
      <c r="AK58" s="1"/>
      <c r="AL58" s="1"/>
      <c r="AM58" s="1"/>
      <c r="AN58" s="1"/>
      <c r="AO58" s="1"/>
      <c r="AP58" s="1"/>
    </row>
    <row r="59" spans="1:42" ht="16.5" thickBot="1" x14ac:dyDescent="0.3">
      <c r="A59" s="1"/>
      <c r="B59" s="8" t="s">
        <v>27</v>
      </c>
      <c r="C59" s="20"/>
      <c r="D59" s="20"/>
      <c r="E59" s="11"/>
      <c r="F59" s="24"/>
      <c r="G59" s="63"/>
      <c r="H59" s="64"/>
      <c r="I59" s="1"/>
      <c r="J59" s="1"/>
      <c r="K59" s="1"/>
      <c r="L59" s="1"/>
      <c r="M59" s="1"/>
      <c r="N59" s="1"/>
      <c r="O59" s="1"/>
      <c r="P59" s="1"/>
      <c r="Q59" s="1"/>
      <c r="R59" s="1"/>
      <c r="S59" s="1"/>
      <c r="T59" s="1"/>
      <c r="U59" s="1"/>
      <c r="V59" s="1"/>
      <c r="W59" s="1"/>
      <c r="X59" s="1"/>
      <c r="Y59" s="1"/>
      <c r="Z59" s="1"/>
      <c r="AA59" s="1"/>
      <c r="AB59" s="1"/>
      <c r="AC59" s="1"/>
      <c r="AD59" s="1"/>
      <c r="AE59" s="1"/>
      <c r="AF59" s="1"/>
      <c r="AG59" s="1"/>
      <c r="AH59" s="1"/>
      <c r="AI59" s="1"/>
      <c r="AJ59" s="1"/>
      <c r="AK59" s="1"/>
      <c r="AL59" s="1"/>
      <c r="AM59" s="1"/>
      <c r="AN59" s="1"/>
      <c r="AO59" s="1"/>
      <c r="AP59" s="1"/>
    </row>
    <row r="60" spans="1:42" ht="15.75" x14ac:dyDescent="0.25">
      <c r="A60" s="1"/>
      <c r="B60" s="65" t="s">
        <v>28</v>
      </c>
      <c r="C60" s="18"/>
      <c r="D60" s="18"/>
      <c r="E60" s="68"/>
      <c r="F60" s="71"/>
      <c r="G60" s="74"/>
      <c r="H60" s="75"/>
      <c r="I60" s="1"/>
      <c r="J60" s="1"/>
      <c r="K60" s="1"/>
      <c r="L60" s="1"/>
      <c r="M60" s="1"/>
      <c r="N60" s="1"/>
      <c r="O60" s="1"/>
      <c r="P60" s="1"/>
      <c r="Q60" s="1"/>
      <c r="R60" s="1"/>
      <c r="S60" s="1"/>
      <c r="T60" s="1"/>
      <c r="U60" s="1"/>
      <c r="V60" s="1"/>
      <c r="W60" s="1"/>
      <c r="X60" s="1"/>
      <c r="Y60" s="1"/>
      <c r="Z60" s="1"/>
      <c r="AA60" s="1"/>
      <c r="AB60" s="1"/>
      <c r="AC60" s="1"/>
      <c r="AD60" s="1"/>
      <c r="AE60" s="1"/>
      <c r="AF60" s="1"/>
      <c r="AG60" s="1"/>
      <c r="AH60" s="1"/>
      <c r="AI60" s="1"/>
      <c r="AJ60" s="1"/>
      <c r="AK60" s="1"/>
      <c r="AL60" s="1"/>
      <c r="AM60" s="1"/>
      <c r="AN60" s="1"/>
      <c r="AO60" s="1"/>
      <c r="AP60" s="1"/>
    </row>
    <row r="61" spans="1:42" ht="15.75" x14ac:dyDescent="0.25">
      <c r="A61" s="1"/>
      <c r="B61" s="66"/>
      <c r="C61" s="19"/>
      <c r="D61" s="19"/>
      <c r="E61" s="69"/>
      <c r="F61" s="72"/>
      <c r="G61" s="74"/>
      <c r="H61" s="75"/>
      <c r="I61" s="1"/>
      <c r="J61" s="1"/>
      <c r="K61" s="1"/>
      <c r="L61" s="1"/>
      <c r="M61" s="1"/>
      <c r="N61" s="1"/>
      <c r="O61" s="1"/>
      <c r="P61" s="1"/>
      <c r="Q61" s="1"/>
      <c r="R61" s="1"/>
      <c r="S61" s="1"/>
      <c r="T61" s="1"/>
      <c r="U61" s="1"/>
      <c r="V61" s="1"/>
      <c r="W61" s="1"/>
      <c r="X61" s="1"/>
      <c r="Y61" s="1"/>
      <c r="Z61" s="1"/>
      <c r="AA61" s="1"/>
      <c r="AB61" s="1"/>
      <c r="AC61" s="1"/>
      <c r="AD61" s="1"/>
      <c r="AE61" s="1"/>
      <c r="AF61" s="1"/>
      <c r="AG61" s="1"/>
      <c r="AH61" s="1"/>
      <c r="AI61" s="1"/>
      <c r="AJ61" s="1"/>
      <c r="AK61" s="1"/>
      <c r="AL61" s="1"/>
      <c r="AM61" s="1"/>
      <c r="AN61" s="1"/>
      <c r="AO61" s="1"/>
      <c r="AP61" s="1"/>
    </row>
    <row r="62" spans="1:42" ht="16.5" thickBot="1" x14ac:dyDescent="0.3">
      <c r="A62" s="1"/>
      <c r="B62" s="67"/>
      <c r="C62" s="8"/>
      <c r="D62" s="8"/>
      <c r="E62" s="70"/>
      <c r="F62" s="73"/>
      <c r="G62" s="76"/>
      <c r="H62" s="77"/>
      <c r="I62" s="1"/>
      <c r="J62" s="1"/>
      <c r="K62" s="1"/>
      <c r="L62" s="1"/>
      <c r="M62" s="1"/>
      <c r="N62" s="1"/>
      <c r="O62" s="1"/>
      <c r="P62" s="1"/>
      <c r="Q62" s="1"/>
      <c r="R62" s="1"/>
      <c r="S62" s="1"/>
      <c r="T62" s="1"/>
      <c r="U62" s="1"/>
      <c r="V62" s="1"/>
      <c r="W62" s="1"/>
      <c r="X62" s="1"/>
      <c r="Y62" s="1"/>
      <c r="Z62" s="1"/>
      <c r="AA62" s="1"/>
      <c r="AB62" s="1"/>
      <c r="AC62" s="1"/>
      <c r="AD62" s="1"/>
      <c r="AE62" s="1"/>
      <c r="AF62" s="1"/>
      <c r="AG62" s="1"/>
      <c r="AH62" s="1"/>
      <c r="AI62" s="1"/>
      <c r="AJ62" s="1"/>
      <c r="AK62" s="1"/>
      <c r="AL62" s="1"/>
      <c r="AM62" s="1"/>
      <c r="AN62" s="1"/>
      <c r="AO62" s="1"/>
      <c r="AP62" s="1"/>
    </row>
    <row r="63" spans="1:42" x14ac:dyDescent="0.25">
      <c r="A63" s="1"/>
      <c r="B63" s="2"/>
      <c r="C63" s="2"/>
      <c r="D63" s="2"/>
      <c r="E63" s="1"/>
      <c r="F63" s="1"/>
      <c r="G63" s="1"/>
      <c r="H63" s="1"/>
      <c r="I63" s="1"/>
      <c r="J63" s="1"/>
      <c r="K63" s="1"/>
      <c r="L63" s="1"/>
      <c r="M63" s="1"/>
      <c r="N63" s="1"/>
      <c r="O63" s="1"/>
      <c r="P63" s="1"/>
      <c r="Q63" s="1"/>
      <c r="R63" s="1"/>
      <c r="S63" s="1"/>
      <c r="T63" s="1"/>
      <c r="U63" s="1"/>
      <c r="V63" s="1"/>
      <c r="W63" s="1"/>
      <c r="X63" s="1"/>
      <c r="Y63" s="1"/>
      <c r="Z63" s="1"/>
      <c r="AA63" s="1"/>
      <c r="AB63" s="1"/>
      <c r="AC63" s="1"/>
      <c r="AD63" s="1"/>
      <c r="AE63" s="1"/>
      <c r="AF63" s="1"/>
      <c r="AG63" s="1"/>
      <c r="AH63" s="1"/>
      <c r="AI63" s="1"/>
      <c r="AJ63" s="1"/>
      <c r="AK63" s="1"/>
      <c r="AL63" s="1"/>
      <c r="AM63" s="1"/>
      <c r="AN63" s="1"/>
      <c r="AO63" s="1"/>
      <c r="AP63" s="1"/>
    </row>
    <row r="64" spans="1:42" x14ac:dyDescent="0.25">
      <c r="A64" s="1"/>
      <c r="B64" s="2"/>
      <c r="C64" s="2"/>
      <c r="D64" s="2"/>
      <c r="E64" s="1"/>
      <c r="F64" s="1"/>
      <c r="G64" s="1"/>
      <c r="H64" s="1"/>
      <c r="I64" s="1"/>
      <c r="J64" s="1"/>
      <c r="K64" s="1"/>
      <c r="L64" s="1"/>
      <c r="M64" s="1"/>
      <c r="N64" s="1"/>
      <c r="O64" s="1"/>
      <c r="P64" s="1"/>
      <c r="Q64" s="1"/>
      <c r="R64" s="1"/>
      <c r="S64" s="1"/>
      <c r="T64" s="1"/>
      <c r="U64" s="1"/>
      <c r="V64" s="1"/>
      <c r="W64" s="1"/>
      <c r="X64" s="1"/>
      <c r="Y64" s="1"/>
      <c r="Z64" s="1"/>
      <c r="AA64" s="1"/>
      <c r="AB64" s="1"/>
      <c r="AC64" s="1"/>
      <c r="AD64" s="1"/>
      <c r="AE64" s="1"/>
      <c r="AF64" s="1"/>
      <c r="AG64" s="1"/>
      <c r="AH64" s="1"/>
      <c r="AI64" s="1"/>
      <c r="AJ64" s="1"/>
      <c r="AK64" s="1"/>
      <c r="AL64" s="1"/>
      <c r="AM64" s="1"/>
      <c r="AN64" s="1"/>
      <c r="AO64" s="1"/>
      <c r="AP64" s="1"/>
    </row>
  </sheetData>
  <mergeCells count="24">
    <mergeCell ref="G57:H57"/>
    <mergeCell ref="G58:H58"/>
    <mergeCell ref="G59:H59"/>
    <mergeCell ref="B60:B62"/>
    <mergeCell ref="E60:E62"/>
    <mergeCell ref="F60:F62"/>
    <mergeCell ref="G60:H62"/>
    <mergeCell ref="E6:G6"/>
    <mergeCell ref="H6:J6"/>
    <mergeCell ref="K6:L6"/>
    <mergeCell ref="M6:Q6"/>
    <mergeCell ref="E7:G7"/>
    <mergeCell ref="H7:J7"/>
    <mergeCell ref="K7:L7"/>
    <mergeCell ref="M7:Q7"/>
    <mergeCell ref="E1:Q1"/>
    <mergeCell ref="E2:Q2"/>
    <mergeCell ref="E3:Q3"/>
    <mergeCell ref="E4:Q4"/>
    <mergeCell ref="E5:G5"/>
    <mergeCell ref="H5:J5"/>
    <mergeCell ref="K5:L5"/>
    <mergeCell ref="N5:O5"/>
    <mergeCell ref="P5:Q5"/>
  </mergeCells>
  <conditionalFormatting sqref="AK48:AK53">
    <cfRule type="cellIs" dxfId="2" priority="1" operator="greaterThan">
      <formula>#REF!</formula>
    </cfRule>
    <cfRule type="cellIs" dxfId="1" priority="2" operator="between">
      <formula>11</formula>
      <formula>50</formula>
    </cfRule>
    <cfRule type="cellIs" dxfId="0" priority="3" operator="lessThan">
      <formula>#REF!</formula>
    </cfRule>
  </conditionalFormatting>
  <pageMargins left="0.7" right="0.7" top="0.75" bottom="0.75" header="0.3" footer="0.3"/>
  <legacy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4</vt:i4>
      </vt:variant>
      <vt:variant>
        <vt:lpstr>Named Ranges</vt:lpstr>
      </vt:variant>
      <vt:variant>
        <vt:i4>2</vt:i4>
      </vt:variant>
    </vt:vector>
  </HeadingPairs>
  <TitlesOfParts>
    <vt:vector size="6" baseType="lpstr">
      <vt:lpstr>Jan 2026</vt:lpstr>
      <vt:lpstr>Feb 2026</vt:lpstr>
      <vt:lpstr>March 2026</vt:lpstr>
      <vt:lpstr>April 2026</vt:lpstr>
      <vt:lpstr>'Jan 2026'!_Hlk122640495</vt:lpstr>
      <vt:lpstr>'March 2026'!_Hlk122640495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2006-09-16T00:00:00Z</dcterms:created>
  <dcterms:modified xsi:type="dcterms:W3CDTF">2026-04-20T10:14:46Z</dcterms:modified>
  <cp:category/>
  <cp:contentStatus/>
</cp:coreProperties>
</file>