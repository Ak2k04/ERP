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50C6EE4C-10CC-460E-9589-A00093972B29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Jan 2026" sheetId="1" r:id="rId1"/>
    <sheet name="Feb 2026" sheetId="5" r:id="rId2"/>
    <sheet name="March 2026" sheetId="6" r:id="rId3"/>
    <sheet name="April 2026" sheetId="7" r:id="rId4"/>
  </sheets>
  <definedNames>
    <definedName name="_Hlk122640495" localSheetId="0">'Jan 2026'!$B$56</definedName>
    <definedName name="_Hlk122640495" localSheetId="2">'March 2026'!$B$56</definedName>
    <definedName name="_Hlk126512593" localSheetId="0">'Jan 2026'!#REF!</definedName>
    <definedName name="_Hlk126512593" localSheetId="2">'March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7" l="1"/>
  <c r="S41" i="7"/>
  <c r="G37" i="7" l="1"/>
  <c r="AK11" i="7"/>
  <c r="F12" i="7"/>
  <c r="F13" i="7"/>
  <c r="F14" i="7"/>
  <c r="AK14" i="7" s="1"/>
  <c r="F15" i="7"/>
  <c r="AK15" i="7" s="1"/>
  <c r="F16" i="7"/>
  <c r="F17" i="7"/>
  <c r="F18" i="7"/>
  <c r="AK18" i="7" s="1"/>
  <c r="F19" i="7"/>
  <c r="AK19" i="7" s="1"/>
  <c r="F20" i="7"/>
  <c r="F21" i="7"/>
  <c r="F22" i="7"/>
  <c r="AK22" i="7" s="1"/>
  <c r="F24" i="7"/>
  <c r="F25" i="7"/>
  <c r="F26" i="7"/>
  <c r="F27" i="7"/>
  <c r="AK27" i="7" s="1"/>
  <c r="F28" i="7"/>
  <c r="F29" i="7"/>
  <c r="F30" i="7"/>
  <c r="F31" i="7"/>
  <c r="AK31" i="7" s="1"/>
  <c r="F32" i="7"/>
  <c r="F33" i="7"/>
  <c r="F34" i="7"/>
  <c r="F35" i="7"/>
  <c r="AK35" i="7" s="1"/>
  <c r="F36" i="7"/>
  <c r="F38" i="7"/>
  <c r="AK38" i="7" s="1"/>
  <c r="F39" i="7"/>
  <c r="AK39" i="7" s="1"/>
  <c r="F40" i="7"/>
  <c r="F41" i="7"/>
  <c r="F42" i="7"/>
  <c r="AK42" i="7" s="1"/>
  <c r="F43" i="7"/>
  <c r="AK43" i="7" s="1"/>
  <c r="F44" i="7"/>
  <c r="F45" i="7"/>
  <c r="F11" i="7"/>
  <c r="AK53" i="7"/>
  <c r="AK52" i="7"/>
  <c r="AK51" i="7"/>
  <c r="AK50" i="7"/>
  <c r="AK49" i="7"/>
  <c r="AK48" i="7"/>
  <c r="AK47" i="7"/>
  <c r="AK46" i="7"/>
  <c r="AK45" i="7"/>
  <c r="AK44" i="7"/>
  <c r="AK41" i="7"/>
  <c r="AK40" i="7"/>
  <c r="AK36" i="7"/>
  <c r="AK34" i="7"/>
  <c r="AK33" i="7"/>
  <c r="AK32" i="7"/>
  <c r="AK30" i="7"/>
  <c r="AK29" i="7"/>
  <c r="AK28" i="7"/>
  <c r="AK26" i="7"/>
  <c r="AK25" i="7"/>
  <c r="AK24" i="7"/>
  <c r="AK21" i="7"/>
  <c r="AK20" i="7"/>
  <c r="AK17" i="7"/>
  <c r="AK16" i="7"/>
  <c r="AK13" i="7"/>
  <c r="AK12" i="7"/>
  <c r="AD37" i="6"/>
  <c r="AD23" i="6"/>
  <c r="AJ37" i="6" l="1"/>
  <c r="W25" i="6" l="1"/>
  <c r="Q28" i="6" l="1"/>
  <c r="Q35" i="6"/>
  <c r="Q41" i="6"/>
  <c r="F11" i="1"/>
  <c r="V41" i="6" l="1"/>
  <c r="W37" i="6"/>
  <c r="U37" i="6"/>
  <c r="P41" i="6" l="1"/>
  <c r="F37" i="1" l="1"/>
  <c r="I25" i="6"/>
  <c r="K20" i="6" l="1"/>
  <c r="K37" i="6"/>
  <c r="AD37" i="5" l="1"/>
  <c r="O42" i="1"/>
  <c r="J41" i="5"/>
  <c r="Q41" i="5"/>
  <c r="W12" i="5"/>
  <c r="W11" i="5"/>
  <c r="AA37" i="5"/>
  <c r="AC11" i="5"/>
  <c r="AC41" i="1"/>
  <c r="F13" i="6" l="1"/>
  <c r="F14" i="6"/>
  <c r="F15" i="6"/>
  <c r="AL15" i="6" s="1"/>
  <c r="F16" i="6"/>
  <c r="F17" i="6"/>
  <c r="F18" i="6"/>
  <c r="F21" i="6"/>
  <c r="F22" i="6"/>
  <c r="F23" i="6"/>
  <c r="AL23" i="6" s="1"/>
  <c r="F23" i="7" s="1"/>
  <c r="AK23" i="7" s="1"/>
  <c r="F24" i="6"/>
  <c r="F25" i="6"/>
  <c r="F27" i="6"/>
  <c r="AL27" i="6" s="1"/>
  <c r="F29" i="6"/>
  <c r="F30" i="6"/>
  <c r="F31" i="6"/>
  <c r="AL31" i="6" s="1"/>
  <c r="F32" i="6"/>
  <c r="F33" i="6"/>
  <c r="F35" i="6"/>
  <c r="AL35" i="6" s="1"/>
  <c r="F40" i="6"/>
  <c r="F43" i="6"/>
  <c r="AL43" i="6" s="1"/>
  <c r="F44" i="6"/>
  <c r="F45" i="6"/>
  <c r="AL53" i="6"/>
  <c r="AL52" i="6"/>
  <c r="AL51" i="6"/>
  <c r="AL50" i="6"/>
  <c r="AL49" i="6"/>
  <c r="AL48" i="6"/>
  <c r="AL47" i="6"/>
  <c r="AL46" i="6"/>
  <c r="AL45" i="6"/>
  <c r="AL44" i="6"/>
  <c r="AL40" i="6"/>
  <c r="AL33" i="6"/>
  <c r="AL32" i="6"/>
  <c r="AL30" i="6"/>
  <c r="AL29" i="6"/>
  <c r="AL25" i="6"/>
  <c r="AL24" i="6"/>
  <c r="AL22" i="6"/>
  <c r="AL21" i="6"/>
  <c r="AL18" i="6"/>
  <c r="AL17" i="6"/>
  <c r="AL16" i="6"/>
  <c r="AL14" i="6"/>
  <c r="AL13" i="6"/>
  <c r="F13" i="5"/>
  <c r="F14" i="5"/>
  <c r="F15" i="5"/>
  <c r="F16" i="5"/>
  <c r="F17" i="5"/>
  <c r="F18" i="5"/>
  <c r="F20" i="5"/>
  <c r="F21" i="5"/>
  <c r="F22" i="5"/>
  <c r="F23" i="5"/>
  <c r="F24" i="5"/>
  <c r="F25" i="5"/>
  <c r="F26" i="5"/>
  <c r="F27" i="5"/>
  <c r="F29" i="5"/>
  <c r="F30" i="5"/>
  <c r="F31" i="5"/>
  <c r="F32" i="5"/>
  <c r="F33" i="5"/>
  <c r="F35" i="5"/>
  <c r="F38" i="5"/>
  <c r="F40" i="5"/>
  <c r="F43" i="5"/>
  <c r="F44" i="5"/>
  <c r="F45" i="5"/>
  <c r="AL11" i="1"/>
  <c r="F11" i="5" s="1"/>
  <c r="AL12" i="1"/>
  <c r="F12" i="5" s="1"/>
  <c r="AL13" i="1"/>
  <c r="AL14" i="1"/>
  <c r="AL15" i="1"/>
  <c r="AL16" i="1"/>
  <c r="AL17" i="1"/>
  <c r="AL18" i="1"/>
  <c r="AL19" i="1"/>
  <c r="F19" i="5" s="1"/>
  <c r="AL20" i="1"/>
  <c r="AL21" i="1"/>
  <c r="AL22" i="1"/>
  <c r="AL23" i="1"/>
  <c r="AL24" i="1"/>
  <c r="AL25" i="1"/>
  <c r="AL26" i="1"/>
  <c r="AL27" i="1"/>
  <c r="AL28" i="1"/>
  <c r="F28" i="5" s="1"/>
  <c r="AL29" i="1"/>
  <c r="AL30" i="1"/>
  <c r="AL31" i="1"/>
  <c r="AL32" i="1"/>
  <c r="AL33" i="1"/>
  <c r="AL34" i="1"/>
  <c r="F34" i="5" s="1"/>
  <c r="AL35" i="1"/>
  <c r="AL36" i="1"/>
  <c r="F36" i="5" s="1"/>
  <c r="AL37" i="1"/>
  <c r="F37" i="5" s="1"/>
  <c r="AL38" i="1"/>
  <c r="AL39" i="1"/>
  <c r="F39" i="5" s="1"/>
  <c r="AL40" i="1"/>
  <c r="O41" i="5" l="1"/>
  <c r="AD41" i="5"/>
  <c r="V11" i="5"/>
  <c r="AE41" i="5"/>
  <c r="Y37" i="5"/>
  <c r="AH37" i="5"/>
  <c r="S37" i="5"/>
  <c r="Z37" i="5" l="1"/>
  <c r="Z20" i="5"/>
  <c r="Z11" i="5"/>
  <c r="J20" i="5"/>
  <c r="J11" i="5"/>
  <c r="H11" i="5"/>
  <c r="AI11" i="5"/>
  <c r="F11" i="6" s="1"/>
  <c r="AL11" i="6" s="1"/>
  <c r="AI12" i="5"/>
  <c r="F12" i="6" s="1"/>
  <c r="AL12" i="6" s="1"/>
  <c r="AI13" i="5"/>
  <c r="AI14" i="5"/>
  <c r="AI15" i="5"/>
  <c r="AI16" i="5"/>
  <c r="AI17" i="5"/>
  <c r="AI18" i="5"/>
  <c r="AI19" i="5"/>
  <c r="F19" i="6" s="1"/>
  <c r="AL19" i="6" s="1"/>
  <c r="AI20" i="5"/>
  <c r="F20" i="6" s="1"/>
  <c r="AL20" i="6" s="1"/>
  <c r="AI21" i="5"/>
  <c r="AI22" i="5"/>
  <c r="AI23" i="5"/>
  <c r="AI24" i="5"/>
  <c r="AI25" i="5"/>
  <c r="AI26" i="5"/>
  <c r="F26" i="6" s="1"/>
  <c r="AL26" i="6" s="1"/>
  <c r="AI27" i="5"/>
  <c r="AI28" i="5"/>
  <c r="F28" i="6" s="1"/>
  <c r="AL28" i="6" s="1"/>
  <c r="AI29" i="5"/>
  <c r="AI30" i="5"/>
  <c r="AI31" i="5"/>
  <c r="AI32" i="5"/>
  <c r="AI33" i="5"/>
  <c r="AI34" i="5"/>
  <c r="F34" i="6" s="1"/>
  <c r="AL34" i="6" s="1"/>
  <c r="AI35" i="5"/>
  <c r="AI36" i="5"/>
  <c r="F36" i="6" s="1"/>
  <c r="AL36" i="6" s="1"/>
  <c r="AI37" i="5"/>
  <c r="F37" i="6" s="1"/>
  <c r="AL37" i="6" s="1"/>
  <c r="F37" i="7" s="1"/>
  <c r="AK37" i="7" s="1"/>
  <c r="AI38" i="5"/>
  <c r="F38" i="6" s="1"/>
  <c r="AL38" i="6" s="1"/>
  <c r="AI39" i="5"/>
  <c r="F39" i="6" s="1"/>
  <c r="AL39" i="6" s="1"/>
  <c r="AI40" i="5"/>
  <c r="AI53" i="5"/>
  <c r="AI52" i="5"/>
  <c r="AI51" i="5"/>
  <c r="AI50" i="5"/>
  <c r="AI49" i="5"/>
  <c r="AI48" i="5"/>
  <c r="AI47" i="5"/>
  <c r="AI46" i="5"/>
  <c r="AI45" i="5"/>
  <c r="AI44" i="5"/>
  <c r="AI43" i="5"/>
  <c r="AJ37" i="1"/>
  <c r="AJ11" i="1"/>
  <c r="AI12" i="1"/>
  <c r="AI11" i="1"/>
  <c r="AH41" i="1"/>
  <c r="AL41" i="1" s="1"/>
  <c r="F41" i="5" s="1"/>
  <c r="AI41" i="5" s="1"/>
  <c r="F41" i="6" s="1"/>
  <c r="AL41" i="6" s="1"/>
  <c r="AH34" i="1"/>
  <c r="AC37" i="1"/>
  <c r="AB37" i="1"/>
  <c r="AA34" i="1"/>
  <c r="W34" i="1"/>
  <c r="W28" i="1"/>
  <c r="W25" i="1"/>
  <c r="R37" i="1"/>
  <c r="O11" i="1"/>
  <c r="AL42" i="1"/>
  <c r="F42" i="5" s="1"/>
  <c r="AI42" i="5" s="1"/>
  <c r="F42" i="6" s="1"/>
  <c r="AL42" i="6" s="1"/>
  <c r="AL43" i="1"/>
  <c r="AL44" i="1"/>
  <c r="AL45" i="1"/>
  <c r="AL46" i="1"/>
  <c r="AL47" i="1"/>
  <c r="AL48" i="1"/>
  <c r="AL49" i="1"/>
  <c r="AL50" i="1"/>
  <c r="AL51" i="1"/>
  <c r="AL53" i="1" l="1"/>
  <c r="AL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A20" authorId="0" shapeId="0" xr:uid="{D524BC59-007F-4BEC-BA50-87E005C17F5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25" authorId="0" shapeId="0" xr:uid="{F302CC3C-058E-4776-9582-B98AD68DBD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Z28" authorId="0" shapeId="0" xr:uid="{1E365EB6-FC38-404C-A4A0-AC52082D4C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28" authorId="0" shapeId="0" xr:uid="{5093A678-296A-4742-BD02-CCB9A224D4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K34" authorId="0" shapeId="0" xr:uid="{6BADEE07-B638-40F8-86D2-266DFEB4325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   Inv -13338 Dt.3-Jan-26</t>
        </r>
      </text>
    </comment>
    <comment ref="T34" authorId="0" shapeId="0" xr:uid="{C7C7E69E-5C24-426E-8F18-A5E290C17C8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    Inv -13805  Dt.14-Jan-26</t>
        </r>
      </text>
    </comment>
    <comment ref="AG34" authorId="0" shapeId="0" xr:uid="{276A3A20-E9EB-437F-BE29-44DE69C28A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Rajguru Electronics (I) Pvt Ltd MA                    Inv-14346 Dt.27-jan-26</t>
        </r>
      </text>
    </comment>
    <comment ref="AA37" authorId="0" shapeId="0" xr:uid="{49BC8691-F6D7-4139-98DE-90A3957095D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Uchi Embedded Solutions  Inv-2025-26/678 Dt-21-Jan-26</t>
        </r>
      </text>
    </comment>
    <comment ref="AI39" authorId="0" shapeId="0" xr:uid="{3E721D68-73AC-4EEC-B424-0E3A9ED1E94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Campus Component Pvt Ltd                                    Inv-CCPLI/25-26/4362 Dt-27-jan-26</t>
        </r>
      </text>
    </comment>
    <comment ref="AA41" authorId="0" shapeId="0" xr:uid="{7F55A66F-FC65-435E-AE0B-2101F89BD6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Tif Labs Pvt Ltd              Inv-TIF/25-26/83608 Dt-20-jan-26</t>
        </r>
      </text>
    </comment>
    <comment ref="AB41" authorId="0" shapeId="0" xr:uid="{05E82F5C-455A-4F4B-A52C-5460277B11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Guangzhou Ronc Electric Technology Co. Ltd                Inv-PI-2026117PC1 Dt-22-jan-26</t>
        </r>
      </text>
    </comment>
    <comment ref="N42" authorId="0" shapeId="0" xr:uid="{BB53B123-06EB-4594-B9B4-BD626D1CA0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Tif - Robu                               Inv-00656 Dt.9-Jan-26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300F0E5A-036B-48E6-B2B8-9593B99ABE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A20" authorId="0" shapeId="0" xr:uid="{BC062C5C-5394-4724-BDE5-54643A89EE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 -AE/CR/25-26/4567  Dt.21-Feb-26</t>
        </r>
      </text>
    </comment>
    <comment ref="AD35" authorId="0" shapeId="0" xr:uid="{A718C17C-CCD6-4A9A-B770-39DEAABEF33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Tif - Robu                               Inv-98593 Dt.24-Feb-26</t>
        </r>
      </text>
    </comment>
    <comment ref="P37" authorId="0" shapeId="0" xr:uid="{15EDE8D2-A20D-4F69-B0A4-1D2843ED3FA3}">
      <text>
        <r>
          <rPr>
            <b/>
            <sz val="9"/>
            <color indexed="81"/>
            <rFont val="Tahoma"/>
            <family val="2"/>
          </rPr>
          <t>office @tellercomm.com:  Uchi Embedded Solutions                     Inv -723 Dt.10-feb-26</t>
        </r>
      </text>
    </comment>
    <comment ref="X37" authorId="0" shapeId="0" xr:uid="{500117D8-CB80-4909-B916-49FB65AC713A}">
      <text>
        <r>
          <rPr>
            <b/>
            <sz val="9"/>
            <color indexed="81"/>
            <rFont val="Tahoma"/>
            <family val="2"/>
          </rPr>
          <t>office @tellercomm.com:  Uchi Embedded Solutions                     Inv -744 Dt.18-feb-26</t>
        </r>
      </text>
    </comment>
    <comment ref="AE37" authorId="0" shapeId="0" xr:uid="{34426CD2-4902-418C-B0AB-FD535629A14C}">
      <text>
        <r>
          <rPr>
            <b/>
            <sz val="9"/>
            <color indexed="81"/>
            <rFont val="Tahoma"/>
            <family val="2"/>
          </rPr>
          <t>office @tellercomm.com:  Uchi Embedded Solutions                     Inv -761 Dt.25-feb-26</t>
        </r>
      </text>
    </comment>
    <comment ref="Z39" authorId="0" shapeId="0" xr:uid="{EB0AF127-3E53-4F6E-AF42-4AD388190F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Campus Component Pvt Ltd                                 Inv -4707 Dt.20-Feb-26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545583AF-FDFD-430D-9270-2CB8B80603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V20" authorId="0" shapeId="0" xr:uid="{EC84F676-AF3D-49C3-8B89-3D3DB1BE52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inv-AE/CR/25-26-4844
Dt10-Mar-26</t>
        </r>
      </text>
    </comment>
    <comment ref="U37" authorId="0" shapeId="0" xr:uid="{B7061C5A-743D-402D-91FD-8199EB1E225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Material Returned to Store From Vasavi &amp; Belenus</t>
        </r>
      </text>
    </comment>
    <comment ref="V37" authorId="0" shapeId="0" xr:uid="{883B910D-EA7F-4917-8F8B-40704B8E9D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Uchi Embedded Solutions
Inv-2025-26/790 Dt-16-mar-26</t>
        </r>
      </text>
    </comment>
    <comment ref="K39" authorId="0" shapeId="0" xr:uid="{21E40712-3AE6-4255-9C01-7ED40F55F12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Campus Component Pvt Ltd                                 Inv -4947 Dt.5-Mar-26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3CEB0BB2-0A16-443F-AED0-F7AB5AE9C07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P37" authorId="0" shapeId="0" xr:uid="{60091C84-DE1E-4C46-9A3F-6735EF8966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Uchi Embedded Solutions
Inv-2026-27/0019
 Dt.10-Apr-26</t>
        </r>
      </text>
    </comment>
  </commentList>
</comments>
</file>

<file path=xl/sharedStrings.xml><?xml version="1.0" encoding="utf-8"?>
<sst xmlns="http://schemas.openxmlformats.org/spreadsheetml/2006/main" count="542" uniqueCount="108">
  <si>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</si>
  <si>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</si>
  <si>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</si>
  <si>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</si>
  <si>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</si>
  <si>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</si>
  <si>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</si>
  <si>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</si>
  <si>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</si>
  <si>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</si>
  <si>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</si>
  <si>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</si>
  <si>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</si>
  <si>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</si>
  <si>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</si>
  <si>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</si>
  <si>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</si>
  <si>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</si>
  <si>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</si>
  <si>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</si>
  <si>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</si>
  <si>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</si>
  <si>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</si>
  <si>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</si>
  <si>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</si>
  <si>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</si>
  <si>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</si>
  <si>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</si>
  <si>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</si>
  <si>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</si>
  <si>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</si>
  <si>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G3</t>
  </si>
  <si>
    <t>SWH-0210001</t>
  </si>
  <si>
    <t>19mm Metal Switch - Green</t>
  </si>
  <si>
    <t>SWH-0210002</t>
  </si>
  <si>
    <t>19mm Metal Switch - Orange</t>
  </si>
  <si>
    <t>SWH-0210003</t>
  </si>
  <si>
    <t>19mm Metal Switch - Blue</t>
  </si>
  <si>
    <t>SWH-0210004</t>
  </si>
  <si>
    <t>19mm Metal Switch - Red</t>
  </si>
  <si>
    <t>SWH-0210005</t>
  </si>
  <si>
    <t>2 Pin ON/OFF Switch - SPST</t>
  </si>
  <si>
    <t>SWH-0210006</t>
  </si>
  <si>
    <t>3 Pin Main Socket with Fuse Holder &amp; Switch Press Type</t>
  </si>
  <si>
    <t>SWH-0210007</t>
  </si>
  <si>
    <t>4 Pin ON/OFF Switch - SPST (Black)</t>
  </si>
  <si>
    <t>SWH-0210008</t>
  </si>
  <si>
    <t>4 Pin ON/OFF Switch - DPST (Red)</t>
  </si>
  <si>
    <t>SWH-0210009</t>
  </si>
  <si>
    <t>6 Pin Non Latch Switch</t>
  </si>
  <si>
    <t>SWH-0210010</t>
  </si>
  <si>
    <t>Micro / Limit Switch 16A- Pull Cord - Toilet</t>
  </si>
  <si>
    <t>SWH-0210011</t>
  </si>
  <si>
    <t>Tactile Switch - 12mm x 12mm</t>
  </si>
  <si>
    <t>SWH-0210012</t>
  </si>
  <si>
    <t>Tactile Switch - Pager - 6x6x6.5mm</t>
  </si>
  <si>
    <t>SWH-0210013</t>
  </si>
  <si>
    <t>8 - Way Slide Switch (DS 08RP)</t>
  </si>
  <si>
    <t>MOD-0220001</t>
  </si>
  <si>
    <t>Module - TM1637 - 7-Segment Digital Display</t>
  </si>
  <si>
    <t>MOD-0220002</t>
  </si>
  <si>
    <t>Module - DS3231 - RTC Module - TellerX</t>
  </si>
  <si>
    <t>MOD-0220003</t>
  </si>
  <si>
    <t>Module - ENC28J60</t>
  </si>
  <si>
    <t>MOD-0220004</t>
  </si>
  <si>
    <t>Module - MT3608</t>
  </si>
  <si>
    <t>MOD-0220005</t>
  </si>
  <si>
    <t>Module - PAM8403 - Amplifier - TellerX</t>
  </si>
  <si>
    <t>MOD-0220006</t>
  </si>
  <si>
    <t>Module - RS485</t>
  </si>
  <si>
    <t>MOD-0220007</t>
  </si>
  <si>
    <t>Module - AMS1117</t>
  </si>
  <si>
    <t>MOD-0220008</t>
  </si>
  <si>
    <t>Module - Relay  250VAC 10A</t>
  </si>
  <si>
    <t>MOD-0220009</t>
  </si>
  <si>
    <t>Module - STM32F103 - HK32F103C8T6</t>
  </si>
  <si>
    <t>MOD-0220010</t>
  </si>
  <si>
    <t>Module - CAN MCP2515</t>
  </si>
  <si>
    <t>RPI-0160001</t>
  </si>
  <si>
    <t xml:space="preserve">Raspberry Pi 3B+ </t>
  </si>
  <si>
    <t>RPI-0160002</t>
  </si>
  <si>
    <t>Raspberry Pi 4</t>
  </si>
  <si>
    <t>RPI-0160003</t>
  </si>
  <si>
    <t xml:space="preserve">Raspberry Pi 0 </t>
  </si>
  <si>
    <t>ESP-0030001</t>
  </si>
  <si>
    <t>ESP WROOM-02D</t>
  </si>
  <si>
    <t>ESP-0030002</t>
  </si>
  <si>
    <t>ESP32 WROOM-32D</t>
  </si>
  <si>
    <t>ESP-0030003</t>
  </si>
  <si>
    <t>ESP32 WROOM-32UE</t>
  </si>
  <si>
    <t>ESP-0030004</t>
  </si>
  <si>
    <t>Arduino Nano CH340</t>
  </si>
  <si>
    <t>PER-0230007</t>
  </si>
  <si>
    <t>Memory Card - 32 GB Samsung</t>
  </si>
  <si>
    <t>PER-0230008</t>
  </si>
  <si>
    <t>Memory Card - 64 GB Samsung</t>
  </si>
  <si>
    <t>PSY-0110005</t>
  </si>
  <si>
    <t>Module -LM2596</t>
  </si>
  <si>
    <t>BUZ-0140001</t>
  </si>
  <si>
    <t>Buzzer - 3.3V SMD - (LET9045AS-19G06)</t>
  </si>
  <si>
    <t>BUZ-0140002</t>
  </si>
  <si>
    <t>Buzzer - 3-24V DC</t>
  </si>
  <si>
    <t>B4</t>
  </si>
  <si>
    <t>B6</t>
  </si>
  <si>
    <t>B5</t>
  </si>
  <si>
    <t>Opening Stock</t>
  </si>
  <si>
    <t>Closing Stock</t>
  </si>
  <si>
    <t>No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</si>
</sst>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7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6" fillId="0" borderId="1" xfId="0" applyFont="1" applyBorder="1" applyAlignment="1">
      <alignment vertical="top"/>
    </xf>
    <xf numFmtId="0" fontId="8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" fontId="4" fillId="0" borderId="13" xfId="0" applyNumberFormat="1" applyFont="1" applyBorder="1" applyAlignment="1">
      <alignment horizontal="center" wrapText="1"/>
    </xf>
    <xf numFmtId="0" fontId="7" fillId="2" borderId="20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vertical="top"/>
    </xf>
    <xf numFmtId="0" fontId="16" fillId="4" borderId="1" xfId="0" applyFont="1" applyFill="1" applyBorder="1" applyAlignment="1">
      <alignment vertical="top"/>
    </xf>
    <xf numFmtId="0" fontId="17" fillId="0" borderId="1" xfId="0" applyFont="1" applyBorder="1" applyAlignment="1">
      <alignment horizontal="center"/>
    </xf>
    <xf numFmtId="14" fontId="18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1" fontId="15" fillId="5" borderId="13" xfId="0" applyNumberFormat="1" applyFont="1" applyFill="1" applyBorder="1" applyAlignment="1">
      <alignment horizont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9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0000FF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2"/>
  <sheetViews>
    <sheetView workbookViewId="0">
      <pane xSplit="4" ySplit="10" topLeftCell="AB26" activePane="bottomRight" state="frozen"/>
      <selection pane="topRight" activeCell="E1" sqref="E1"/>
      <selection pane="bottomLeft" activeCell="A11" sqref="A11"/>
      <selection pane="bottomRight" activeCell="O41" sqref="O41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3" customFormat="1" ht="15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3" customFormat="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3" customFormat="1" ht="15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3" customFormat="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2">
        <v>0</v>
      </c>
      <c r="N5" s="71" t="s">
        <v>5</v>
      </c>
      <c r="O5" s="71"/>
      <c r="P5" s="72"/>
      <c r="Q5" s="73"/>
    </row>
    <row r="6" spans="1:43" customFormat="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3" customFormat="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105</v>
      </c>
      <c r="G10" s="35">
        <v>46023</v>
      </c>
      <c r="H10" s="35">
        <v>46024</v>
      </c>
      <c r="I10" s="35">
        <v>46025</v>
      </c>
      <c r="J10" s="35">
        <v>46026</v>
      </c>
      <c r="K10" s="35">
        <v>46027</v>
      </c>
      <c r="L10" s="35">
        <v>46028</v>
      </c>
      <c r="M10" s="35">
        <v>46029</v>
      </c>
      <c r="N10" s="35">
        <v>46030</v>
      </c>
      <c r="O10" s="35">
        <v>46031</v>
      </c>
      <c r="P10" s="35">
        <v>46032</v>
      </c>
      <c r="Q10" s="35">
        <v>46033</v>
      </c>
      <c r="R10" s="35">
        <v>46034</v>
      </c>
      <c r="S10" s="35">
        <v>46035</v>
      </c>
      <c r="T10" s="35">
        <v>46036</v>
      </c>
      <c r="U10" s="35">
        <v>46037</v>
      </c>
      <c r="V10" s="35">
        <v>46038</v>
      </c>
      <c r="W10" s="35">
        <v>46039</v>
      </c>
      <c r="X10" s="35">
        <v>46040</v>
      </c>
      <c r="Y10" s="35">
        <v>46041</v>
      </c>
      <c r="Z10" s="35">
        <v>46042</v>
      </c>
      <c r="AA10" s="35">
        <v>46043</v>
      </c>
      <c r="AB10" s="35">
        <v>46044</v>
      </c>
      <c r="AC10" s="35">
        <v>46045</v>
      </c>
      <c r="AD10" s="35">
        <v>46046</v>
      </c>
      <c r="AE10" s="35">
        <v>46047</v>
      </c>
      <c r="AF10" s="35">
        <v>46048</v>
      </c>
      <c r="AG10" s="35">
        <v>46049</v>
      </c>
      <c r="AH10" s="35">
        <v>46050</v>
      </c>
      <c r="AI10" s="35">
        <v>46051</v>
      </c>
      <c r="AJ10" s="35">
        <v>46052</v>
      </c>
      <c r="AK10" s="35">
        <v>46053</v>
      </c>
      <c r="AL10" s="14" t="s">
        <v>106</v>
      </c>
      <c r="AM10" s="5" t="s">
        <v>18</v>
      </c>
      <c r="AN10" s="5" t="s">
        <v>19</v>
      </c>
      <c r="AO10" s="5" t="s">
        <v>20</v>
      </c>
      <c r="AP10" s="15"/>
      <c r="AQ10" s="16"/>
    </row>
    <row r="11" spans="1:43" customFormat="1" ht="15" x14ac:dyDescent="0.25">
      <c r="A11" t="s">
        <v>102</v>
      </c>
      <c r="B11" s="20" t="s">
        <v>32</v>
      </c>
      <c r="C11" s="20" t="s">
        <v>33</v>
      </c>
      <c r="D11" s="6"/>
      <c r="E11" s="7"/>
      <c r="F11" s="14">
        <f>550-4</f>
        <v>546</v>
      </c>
      <c r="G11" s="36"/>
      <c r="H11" s="36"/>
      <c r="I11" s="36"/>
      <c r="J11" s="36"/>
      <c r="K11" s="31">
        <v>-2</v>
      </c>
      <c r="L11" s="31">
        <v>-29</v>
      </c>
      <c r="M11" s="36"/>
      <c r="N11" s="36"/>
      <c r="O11" s="31">
        <f>-6+-6</f>
        <v>-12</v>
      </c>
      <c r="P11" s="36"/>
      <c r="Q11" s="36"/>
      <c r="R11" s="36"/>
      <c r="S11" s="31">
        <v>-12</v>
      </c>
      <c r="T11" s="36"/>
      <c r="U11" s="36"/>
      <c r="V11" s="36"/>
      <c r="W11" s="36"/>
      <c r="X11" s="36"/>
      <c r="Y11" s="36"/>
      <c r="Z11" s="36"/>
      <c r="AA11" s="31">
        <v>-3</v>
      </c>
      <c r="AB11" s="36"/>
      <c r="AC11" s="31">
        <v>-3</v>
      </c>
      <c r="AD11" s="36"/>
      <c r="AE11" s="36"/>
      <c r="AF11" s="36"/>
      <c r="AG11" s="36"/>
      <c r="AH11" s="31">
        <v>-11</v>
      </c>
      <c r="AI11" s="31">
        <f>-56+-26</f>
        <v>-82</v>
      </c>
      <c r="AJ11" s="31">
        <f>-69+-7</f>
        <v>-76</v>
      </c>
      <c r="AK11" s="36"/>
      <c r="AL11" s="37">
        <f>SUM(G11:AK11)+F11</f>
        <v>316</v>
      </c>
      <c r="AM11" s="30"/>
      <c r="AN11" s="30"/>
      <c r="AO11" s="30"/>
      <c r="AP11" s="16"/>
      <c r="AQ11" s="16"/>
    </row>
    <row r="12" spans="1:43" customFormat="1" ht="15" x14ac:dyDescent="0.25">
      <c r="A12" t="s">
        <v>102</v>
      </c>
      <c r="B12" s="20" t="s">
        <v>34</v>
      </c>
      <c r="C12" s="20" t="s">
        <v>35</v>
      </c>
      <c r="D12" s="6"/>
      <c r="E12" s="7"/>
      <c r="F12" s="14">
        <v>655</v>
      </c>
      <c r="G12" s="36"/>
      <c r="H12" s="31">
        <v>-8</v>
      </c>
      <c r="I12" s="36"/>
      <c r="J12" s="36"/>
      <c r="K12" s="31">
        <v>-2</v>
      </c>
      <c r="L12" s="31">
        <v>-29</v>
      </c>
      <c r="M12" s="36"/>
      <c r="N12" s="36"/>
      <c r="O12" s="31"/>
      <c r="P12" s="36"/>
      <c r="Q12" s="36"/>
      <c r="R12" s="36"/>
      <c r="S12" s="31">
        <v>-12</v>
      </c>
      <c r="T12" s="36"/>
      <c r="U12" s="36"/>
      <c r="V12" s="36"/>
      <c r="W12" s="36"/>
      <c r="X12" s="36"/>
      <c r="Y12" s="36"/>
      <c r="Z12" s="31">
        <v>-2</v>
      </c>
      <c r="AA12" s="36"/>
      <c r="AB12" s="36"/>
      <c r="AC12" s="31">
        <v>-3</v>
      </c>
      <c r="AD12" s="36"/>
      <c r="AE12" s="36"/>
      <c r="AF12" s="36"/>
      <c r="AG12" s="36"/>
      <c r="AH12" s="36"/>
      <c r="AI12" s="31">
        <f>-56+-26</f>
        <v>-82</v>
      </c>
      <c r="AJ12" s="31"/>
      <c r="AK12" s="36"/>
      <c r="AL12" s="37">
        <f t="shared" ref="AL12:AL40" si="0">SUM(G12:AK12)+F12</f>
        <v>517</v>
      </c>
      <c r="AM12" s="30"/>
      <c r="AN12" s="30"/>
      <c r="AO12" s="30"/>
      <c r="AP12" s="16"/>
      <c r="AQ12" s="16"/>
    </row>
    <row r="13" spans="1:43" customFormat="1" ht="15" x14ac:dyDescent="0.25">
      <c r="A13" t="s">
        <v>102</v>
      </c>
      <c r="B13" s="20" t="s">
        <v>36</v>
      </c>
      <c r="C13" s="20" t="s">
        <v>37</v>
      </c>
      <c r="D13" s="6"/>
      <c r="E13" s="7"/>
      <c r="F13" s="14">
        <v>104</v>
      </c>
      <c r="G13" s="36"/>
      <c r="H13" s="36"/>
      <c r="I13" s="36"/>
      <c r="J13" s="36"/>
      <c r="K13" s="36"/>
      <c r="L13" s="31"/>
      <c r="M13" s="36"/>
      <c r="N13" s="36"/>
      <c r="O13" s="31">
        <v>-6</v>
      </c>
      <c r="P13" s="36"/>
      <c r="Q13" s="36"/>
      <c r="R13" s="36"/>
      <c r="S13" s="31"/>
      <c r="T13" s="36"/>
      <c r="U13" s="36"/>
      <c r="V13" s="36"/>
      <c r="W13" s="36"/>
      <c r="X13" s="36"/>
      <c r="Y13" s="36"/>
      <c r="Z13" s="36"/>
      <c r="AA13" s="36"/>
      <c r="AB13" s="36"/>
      <c r="AC13" s="31"/>
      <c r="AD13" s="36"/>
      <c r="AE13" s="36"/>
      <c r="AF13" s="36"/>
      <c r="AG13" s="36"/>
      <c r="AH13" s="36"/>
      <c r="AI13" s="31"/>
      <c r="AJ13" s="31">
        <v>-69</v>
      </c>
      <c r="AK13" s="36"/>
      <c r="AL13" s="37">
        <f t="shared" si="0"/>
        <v>29</v>
      </c>
      <c r="AM13" s="30"/>
      <c r="AN13" s="30"/>
      <c r="AO13" s="30"/>
      <c r="AP13" s="16"/>
      <c r="AQ13" s="16"/>
    </row>
    <row r="14" spans="1:43" customFormat="1" ht="15" x14ac:dyDescent="0.25">
      <c r="A14" t="s">
        <v>102</v>
      </c>
      <c r="B14" s="20" t="s">
        <v>38</v>
      </c>
      <c r="C14" s="20" t="s">
        <v>39</v>
      </c>
      <c r="D14" s="6"/>
      <c r="E14" s="7"/>
      <c r="F14" s="14">
        <v>229</v>
      </c>
      <c r="G14" s="36"/>
      <c r="H14" s="36"/>
      <c r="I14" s="36"/>
      <c r="J14" s="36"/>
      <c r="K14" s="36"/>
      <c r="L14" s="31"/>
      <c r="M14" s="36"/>
      <c r="N14" s="36"/>
      <c r="O14" s="31">
        <v>-6</v>
      </c>
      <c r="P14" s="36"/>
      <c r="Q14" s="36"/>
      <c r="R14" s="36"/>
      <c r="S14" s="31"/>
      <c r="T14" s="36"/>
      <c r="U14" s="36"/>
      <c r="V14" s="36"/>
      <c r="W14" s="36"/>
      <c r="X14" s="36"/>
      <c r="Y14" s="36"/>
      <c r="Z14" s="36"/>
      <c r="AA14" s="36"/>
      <c r="AB14" s="36"/>
      <c r="AC14" s="31"/>
      <c r="AD14" s="36"/>
      <c r="AE14" s="36"/>
      <c r="AF14" s="36"/>
      <c r="AG14" s="36"/>
      <c r="AH14" s="36"/>
      <c r="AI14" s="31"/>
      <c r="AJ14" s="31">
        <v>-69</v>
      </c>
      <c r="AK14" s="36"/>
      <c r="AL14" s="37">
        <f t="shared" si="0"/>
        <v>154</v>
      </c>
      <c r="AM14" s="30"/>
      <c r="AN14" s="30"/>
      <c r="AO14" s="30"/>
      <c r="AP14" s="16"/>
      <c r="AQ14" s="16"/>
    </row>
    <row r="15" spans="1:43" customFormat="1" ht="15" x14ac:dyDescent="0.25">
      <c r="A15" t="s">
        <v>31</v>
      </c>
      <c r="B15" s="20" t="s">
        <v>40</v>
      </c>
      <c r="C15" s="20" t="s">
        <v>41</v>
      </c>
      <c r="D15" s="6"/>
      <c r="E15" s="7"/>
      <c r="F15" s="14">
        <v>7</v>
      </c>
      <c r="G15" s="36"/>
      <c r="H15" s="36"/>
      <c r="I15" s="36"/>
      <c r="J15" s="36"/>
      <c r="K15" s="36"/>
      <c r="L15" s="31"/>
      <c r="M15" s="36"/>
      <c r="N15" s="36"/>
      <c r="O15" s="31"/>
      <c r="P15" s="36"/>
      <c r="Q15" s="36"/>
      <c r="R15" s="36"/>
      <c r="S15" s="31"/>
      <c r="T15" s="36"/>
      <c r="U15" s="36"/>
      <c r="V15" s="36"/>
      <c r="W15" s="36"/>
      <c r="X15" s="36"/>
      <c r="Y15" s="36"/>
      <c r="Z15" s="36"/>
      <c r="AA15" s="36"/>
      <c r="AB15" s="36"/>
      <c r="AC15" s="31"/>
      <c r="AD15" s="36"/>
      <c r="AE15" s="36"/>
      <c r="AF15" s="36"/>
      <c r="AG15" s="36"/>
      <c r="AH15" s="36"/>
      <c r="AI15" s="36"/>
      <c r="AJ15" s="31"/>
      <c r="AK15" s="36"/>
      <c r="AL15" s="37">
        <f t="shared" si="0"/>
        <v>7</v>
      </c>
      <c r="AM15" s="30"/>
      <c r="AN15" s="30"/>
      <c r="AO15" s="30"/>
      <c r="AP15" s="16"/>
      <c r="AQ15" s="16"/>
    </row>
    <row r="16" spans="1:43" customFormat="1" ht="15" x14ac:dyDescent="0.25">
      <c r="B16" s="20" t="s">
        <v>42</v>
      </c>
      <c r="C16" s="20" t="s">
        <v>43</v>
      </c>
      <c r="D16" s="6"/>
      <c r="E16" s="7"/>
      <c r="F16" s="14">
        <v>0</v>
      </c>
      <c r="G16" s="36"/>
      <c r="H16" s="36"/>
      <c r="I16" s="36"/>
      <c r="J16" s="36"/>
      <c r="K16" s="36"/>
      <c r="L16" s="31"/>
      <c r="M16" s="36"/>
      <c r="N16" s="36"/>
      <c r="O16" s="31"/>
      <c r="P16" s="36"/>
      <c r="Q16" s="36"/>
      <c r="R16" s="36"/>
      <c r="S16" s="31"/>
      <c r="T16" s="36"/>
      <c r="U16" s="36"/>
      <c r="V16" s="36"/>
      <c r="W16" s="36"/>
      <c r="X16" s="36"/>
      <c r="Y16" s="36"/>
      <c r="Z16" s="36"/>
      <c r="AA16" s="36"/>
      <c r="AB16" s="36"/>
      <c r="AC16" s="31"/>
      <c r="AD16" s="36"/>
      <c r="AE16" s="36"/>
      <c r="AF16" s="36"/>
      <c r="AG16" s="36"/>
      <c r="AH16" s="36"/>
      <c r="AI16" s="36"/>
      <c r="AJ16" s="31"/>
      <c r="AK16" s="36"/>
      <c r="AL16" s="37">
        <f t="shared" si="0"/>
        <v>0</v>
      </c>
      <c r="AM16" s="30"/>
      <c r="AN16" s="30"/>
      <c r="AO16" s="30"/>
      <c r="AP16" s="16"/>
      <c r="AQ16" s="16"/>
    </row>
    <row r="17" spans="1:43" customFormat="1" ht="15" x14ac:dyDescent="0.25">
      <c r="B17" s="20" t="s">
        <v>44</v>
      </c>
      <c r="C17" s="20" t="s">
        <v>45</v>
      </c>
      <c r="D17" s="6"/>
      <c r="E17" s="7"/>
      <c r="F17" s="14">
        <v>11</v>
      </c>
      <c r="G17" s="36"/>
      <c r="H17" s="36"/>
      <c r="I17" s="36"/>
      <c r="J17" s="36"/>
      <c r="K17" s="36"/>
      <c r="L17" s="31"/>
      <c r="M17" s="36"/>
      <c r="N17" s="36"/>
      <c r="O17" s="31"/>
      <c r="P17" s="36"/>
      <c r="Q17" s="36"/>
      <c r="R17" s="36"/>
      <c r="S17" s="31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1"/>
      <c r="AK17" s="36"/>
      <c r="AL17" s="37">
        <f t="shared" si="0"/>
        <v>11</v>
      </c>
      <c r="AM17" s="30"/>
      <c r="AN17" s="30"/>
      <c r="AO17" s="30"/>
      <c r="AP17" s="16"/>
      <c r="AQ17" s="16"/>
    </row>
    <row r="18" spans="1:43" customFormat="1" ht="15" x14ac:dyDescent="0.25">
      <c r="B18" s="20" t="s">
        <v>46</v>
      </c>
      <c r="C18" s="20" t="s">
        <v>47</v>
      </c>
      <c r="D18" s="6"/>
      <c r="E18" s="7"/>
      <c r="F18" s="14">
        <v>3</v>
      </c>
      <c r="G18" s="36"/>
      <c r="H18" s="36"/>
      <c r="I18" s="31"/>
      <c r="J18" s="31"/>
      <c r="K18" s="31"/>
      <c r="L18" s="31"/>
      <c r="M18" s="36"/>
      <c r="N18" s="36"/>
      <c r="O18" s="31"/>
      <c r="P18" s="36"/>
      <c r="Q18" s="36"/>
      <c r="R18" s="36"/>
      <c r="S18" s="31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1"/>
      <c r="AK18" s="36"/>
      <c r="AL18" s="37">
        <f t="shared" si="0"/>
        <v>3</v>
      </c>
      <c r="AM18" s="30"/>
      <c r="AN18" s="30"/>
      <c r="AO18" s="30"/>
      <c r="AP18" s="16"/>
      <c r="AQ18" s="16"/>
    </row>
    <row r="19" spans="1:43" customFormat="1" ht="15" x14ac:dyDescent="0.25">
      <c r="A19" t="s">
        <v>31</v>
      </c>
      <c r="B19" s="20" t="s">
        <v>48</v>
      </c>
      <c r="C19" s="20" t="s">
        <v>49</v>
      </c>
      <c r="D19" s="6"/>
      <c r="E19" s="7"/>
      <c r="F19" s="14">
        <v>33</v>
      </c>
      <c r="G19" s="36"/>
      <c r="H19" s="36"/>
      <c r="I19" s="31"/>
      <c r="J19" s="31"/>
      <c r="K19" s="31"/>
      <c r="L19" s="31"/>
      <c r="M19" s="36"/>
      <c r="N19" s="36"/>
      <c r="O19" s="36"/>
      <c r="P19" s="36"/>
      <c r="Q19" s="36"/>
      <c r="R19" s="31">
        <v>-8</v>
      </c>
      <c r="S19" s="31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1"/>
      <c r="AK19" s="36"/>
      <c r="AL19" s="37">
        <f t="shared" si="0"/>
        <v>25</v>
      </c>
      <c r="AM19" s="30"/>
      <c r="AN19" s="30"/>
      <c r="AO19" s="30"/>
      <c r="AP19" s="16"/>
      <c r="AQ19" s="16"/>
    </row>
    <row r="20" spans="1:43" customFormat="1" ht="15" x14ac:dyDescent="0.25">
      <c r="A20" t="s">
        <v>102</v>
      </c>
      <c r="B20" s="20" t="s">
        <v>50</v>
      </c>
      <c r="C20" s="20" t="s">
        <v>51</v>
      </c>
      <c r="D20" s="6"/>
      <c r="E20" s="7"/>
      <c r="F20" s="14">
        <v>51</v>
      </c>
      <c r="G20" s="36"/>
      <c r="H20" s="31">
        <v>-12</v>
      </c>
      <c r="I20" s="31"/>
      <c r="J20" s="31"/>
      <c r="K20" s="31"/>
      <c r="L20" s="31"/>
      <c r="M20" s="36"/>
      <c r="N20" s="31">
        <v>-37</v>
      </c>
      <c r="O20" s="31">
        <v>-2</v>
      </c>
      <c r="P20" s="36"/>
      <c r="Q20" s="36"/>
      <c r="R20" s="36"/>
      <c r="S20" s="31"/>
      <c r="T20" s="36"/>
      <c r="U20" s="36"/>
      <c r="V20" s="36"/>
      <c r="W20" s="36"/>
      <c r="X20" s="36"/>
      <c r="Y20" s="36"/>
      <c r="Z20" s="36"/>
      <c r="AA20" s="34">
        <v>150</v>
      </c>
      <c r="AB20" s="31">
        <v>-13</v>
      </c>
      <c r="AC20" s="31">
        <v>-20</v>
      </c>
      <c r="AD20" s="36"/>
      <c r="AE20" s="36"/>
      <c r="AF20" s="36"/>
      <c r="AG20" s="36"/>
      <c r="AH20" s="36"/>
      <c r="AI20" s="36"/>
      <c r="AJ20" s="31">
        <v>-7</v>
      </c>
      <c r="AK20" s="36"/>
      <c r="AL20" s="37">
        <f t="shared" si="0"/>
        <v>110</v>
      </c>
      <c r="AM20" s="30"/>
      <c r="AN20" s="30"/>
      <c r="AO20" s="30"/>
      <c r="AP20" s="16"/>
      <c r="AQ20" s="16"/>
    </row>
    <row r="21" spans="1:43" customFormat="1" ht="15" x14ac:dyDescent="0.25">
      <c r="B21" s="20" t="s">
        <v>52</v>
      </c>
      <c r="C21" s="32" t="s">
        <v>53</v>
      </c>
      <c r="D21" s="6"/>
      <c r="E21" s="7"/>
      <c r="F21" s="14">
        <v>6</v>
      </c>
      <c r="G21" s="36"/>
      <c r="H21" s="36"/>
      <c r="I21" s="31"/>
      <c r="J21" s="31"/>
      <c r="K21" s="31"/>
      <c r="L21" s="31"/>
      <c r="M21" s="36"/>
      <c r="N21" s="36"/>
      <c r="O21" s="36"/>
      <c r="P21" s="36"/>
      <c r="Q21" s="36"/>
      <c r="R21" s="36"/>
      <c r="S21" s="31"/>
      <c r="T21" s="36"/>
      <c r="U21" s="36"/>
      <c r="V21" s="36"/>
      <c r="W21" s="36"/>
      <c r="X21" s="36"/>
      <c r="Y21" s="36"/>
      <c r="Z21" s="36"/>
      <c r="AA21" s="36"/>
      <c r="AB21" s="31"/>
      <c r="AC21" s="36"/>
      <c r="AD21" s="36"/>
      <c r="AE21" s="36"/>
      <c r="AF21" s="36"/>
      <c r="AG21" s="36"/>
      <c r="AH21" s="36"/>
      <c r="AI21" s="36"/>
      <c r="AJ21" s="31"/>
      <c r="AK21" s="36"/>
      <c r="AL21" s="37">
        <f t="shared" si="0"/>
        <v>6</v>
      </c>
      <c r="AM21" s="30"/>
      <c r="AN21" s="30"/>
      <c r="AO21" s="30"/>
      <c r="AP21" s="16"/>
      <c r="AQ21" s="16"/>
    </row>
    <row r="22" spans="1:43" customFormat="1" ht="15" x14ac:dyDescent="0.25">
      <c r="A22" t="s">
        <v>31</v>
      </c>
      <c r="B22" s="20" t="s">
        <v>54</v>
      </c>
      <c r="C22" s="32" t="s">
        <v>55</v>
      </c>
      <c r="D22" s="6"/>
      <c r="E22" s="7"/>
      <c r="F22" s="14">
        <v>150</v>
      </c>
      <c r="G22" s="36"/>
      <c r="H22" s="36"/>
      <c r="I22" s="31"/>
      <c r="J22" s="31"/>
      <c r="K22" s="31"/>
      <c r="L22" s="36"/>
      <c r="M22" s="36"/>
      <c r="N22" s="36"/>
      <c r="O22" s="36"/>
      <c r="P22" s="36"/>
      <c r="Q22" s="36"/>
      <c r="R22" s="36"/>
      <c r="S22" s="31"/>
      <c r="T22" s="36"/>
      <c r="U22" s="36"/>
      <c r="V22" s="36"/>
      <c r="W22" s="36"/>
      <c r="X22" s="36"/>
      <c r="Y22" s="36"/>
      <c r="Z22" s="36"/>
      <c r="AA22" s="36"/>
      <c r="AB22" s="31"/>
      <c r="AC22" s="36"/>
      <c r="AD22" s="36"/>
      <c r="AE22" s="36"/>
      <c r="AF22" s="36"/>
      <c r="AG22" s="36"/>
      <c r="AH22" s="36"/>
      <c r="AI22" s="36"/>
      <c r="AJ22" s="36"/>
      <c r="AK22" s="36"/>
      <c r="AL22" s="37">
        <f t="shared" si="0"/>
        <v>150</v>
      </c>
      <c r="AM22" s="30"/>
      <c r="AN22" s="30"/>
      <c r="AO22" s="30"/>
      <c r="AP22" s="16"/>
      <c r="AQ22" s="16"/>
    </row>
    <row r="23" spans="1:43" customFormat="1" ht="15" x14ac:dyDescent="0.25">
      <c r="A23" t="s">
        <v>103</v>
      </c>
      <c r="B23" s="20" t="s">
        <v>56</v>
      </c>
      <c r="C23" s="20" t="s">
        <v>57</v>
      </c>
      <c r="D23" s="6"/>
      <c r="E23" s="7"/>
      <c r="F23" s="14">
        <v>987</v>
      </c>
      <c r="G23" s="36"/>
      <c r="H23" s="36"/>
      <c r="I23" s="31"/>
      <c r="J23" s="31"/>
      <c r="K23" s="31"/>
      <c r="L23" s="36"/>
      <c r="M23" s="36"/>
      <c r="N23" s="36"/>
      <c r="O23" s="36"/>
      <c r="P23" s="36"/>
      <c r="Q23" s="36"/>
      <c r="R23" s="36"/>
      <c r="S23" s="31"/>
      <c r="T23" s="36"/>
      <c r="U23" s="36"/>
      <c r="V23" s="36"/>
      <c r="W23" s="36"/>
      <c r="X23" s="36"/>
      <c r="Y23" s="36"/>
      <c r="Z23" s="36"/>
      <c r="AA23" s="36"/>
      <c r="AB23" s="31"/>
      <c r="AC23" s="36"/>
      <c r="AD23" s="36"/>
      <c r="AE23" s="36"/>
      <c r="AF23" s="36"/>
      <c r="AG23" s="36"/>
      <c r="AH23" s="36"/>
      <c r="AI23" s="36"/>
      <c r="AJ23" s="36"/>
      <c r="AK23" s="36"/>
      <c r="AL23" s="37">
        <f t="shared" si="0"/>
        <v>987</v>
      </c>
      <c r="AM23" s="30"/>
      <c r="AN23" s="30"/>
      <c r="AO23" s="30"/>
      <c r="AP23" s="16"/>
      <c r="AQ23" s="16"/>
    </row>
    <row r="24" spans="1:43" customFormat="1" ht="15" x14ac:dyDescent="0.25">
      <c r="A24" t="s">
        <v>104</v>
      </c>
      <c r="B24" s="20" t="s">
        <v>58</v>
      </c>
      <c r="C24" s="20" t="s">
        <v>59</v>
      </c>
      <c r="D24" s="6"/>
      <c r="E24" s="7"/>
      <c r="F24" s="14">
        <v>31</v>
      </c>
      <c r="G24" s="36"/>
      <c r="H24" s="36"/>
      <c r="I24" s="31"/>
      <c r="J24" s="31"/>
      <c r="K24" s="31"/>
      <c r="L24" s="36"/>
      <c r="M24" s="36"/>
      <c r="N24" s="36"/>
      <c r="O24" s="31"/>
      <c r="P24" s="36"/>
      <c r="Q24" s="36"/>
      <c r="R24" s="36"/>
      <c r="S24" s="31"/>
      <c r="T24" s="36"/>
      <c r="U24" s="36"/>
      <c r="V24" s="36"/>
      <c r="W24" s="36"/>
      <c r="X24" s="36"/>
      <c r="Y24" s="36"/>
      <c r="Z24" s="36"/>
      <c r="AA24" s="36"/>
      <c r="AB24" s="31"/>
      <c r="AC24" s="36"/>
      <c r="AD24" s="36"/>
      <c r="AE24" s="36"/>
      <c r="AF24" s="36"/>
      <c r="AG24" s="36"/>
      <c r="AH24" s="36"/>
      <c r="AI24" s="36"/>
      <c r="AJ24" s="36"/>
      <c r="AK24" s="36"/>
      <c r="AL24" s="37">
        <f t="shared" si="0"/>
        <v>31</v>
      </c>
      <c r="AM24" s="30"/>
      <c r="AN24" s="30"/>
      <c r="AO24" s="30"/>
      <c r="AP24" s="16"/>
      <c r="AQ24" s="16"/>
    </row>
    <row r="25" spans="1:43" customFormat="1" ht="15" x14ac:dyDescent="0.25">
      <c r="A25" t="s">
        <v>104</v>
      </c>
      <c r="B25" s="20" t="s">
        <v>60</v>
      </c>
      <c r="C25" s="20" t="s">
        <v>61</v>
      </c>
      <c r="D25" s="6"/>
      <c r="E25" s="7"/>
      <c r="F25" s="14">
        <v>31</v>
      </c>
      <c r="G25" s="36"/>
      <c r="H25" s="36"/>
      <c r="I25" s="31">
        <v>-1</v>
      </c>
      <c r="J25" s="31"/>
      <c r="K25" s="31"/>
      <c r="L25" s="36"/>
      <c r="M25" s="36"/>
      <c r="N25" s="36"/>
      <c r="O25" s="31">
        <v>-1</v>
      </c>
      <c r="P25" s="36"/>
      <c r="Q25" s="36"/>
      <c r="R25" s="36"/>
      <c r="S25" s="36"/>
      <c r="T25" s="36"/>
      <c r="U25" s="36"/>
      <c r="V25" s="31">
        <v>-13</v>
      </c>
      <c r="W25" s="31">
        <f>-1+-1+-1</f>
        <v>-3</v>
      </c>
      <c r="X25" s="36"/>
      <c r="Y25" s="36"/>
      <c r="Z25" s="36"/>
      <c r="AA25" s="31">
        <v>-5</v>
      </c>
      <c r="AB25" s="31">
        <v>-1</v>
      </c>
      <c r="AC25" s="31">
        <v>-7</v>
      </c>
      <c r="AD25" s="36"/>
      <c r="AE25" s="36"/>
      <c r="AF25" s="36"/>
      <c r="AG25" s="36"/>
      <c r="AH25" s="36"/>
      <c r="AI25" s="36"/>
      <c r="AJ25" s="36"/>
      <c r="AK25" s="34">
        <v>50</v>
      </c>
      <c r="AL25" s="37">
        <f t="shared" si="0"/>
        <v>50</v>
      </c>
      <c r="AM25" s="30"/>
      <c r="AN25" s="30"/>
      <c r="AO25" s="30"/>
      <c r="AP25" s="16"/>
      <c r="AQ25" s="16"/>
    </row>
    <row r="26" spans="1:43" customFormat="1" ht="15" x14ac:dyDescent="0.25">
      <c r="A26" t="s">
        <v>104</v>
      </c>
      <c r="B26" s="20" t="s">
        <v>62</v>
      </c>
      <c r="C26" s="20" t="s">
        <v>63</v>
      </c>
      <c r="D26" s="6"/>
      <c r="E26" s="7"/>
      <c r="F26" s="14">
        <v>35</v>
      </c>
      <c r="G26" s="36"/>
      <c r="H26" s="36"/>
      <c r="I26" s="31"/>
      <c r="J26" s="31"/>
      <c r="K26" s="31"/>
      <c r="L26" s="36"/>
      <c r="M26" s="36"/>
      <c r="N26" s="36"/>
      <c r="O26" s="31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1"/>
      <c r="AC26" s="36"/>
      <c r="AD26" s="36"/>
      <c r="AE26" s="36"/>
      <c r="AF26" s="36"/>
      <c r="AG26" s="36"/>
      <c r="AH26" s="36"/>
      <c r="AI26" s="36"/>
      <c r="AJ26" s="36"/>
      <c r="AK26" s="36"/>
      <c r="AL26" s="37">
        <f t="shared" si="0"/>
        <v>35</v>
      </c>
      <c r="AM26" s="30"/>
      <c r="AN26" s="30"/>
      <c r="AO26" s="30"/>
      <c r="AP26" s="16"/>
      <c r="AQ26" s="16"/>
    </row>
    <row r="27" spans="1:43" customFormat="1" ht="15" x14ac:dyDescent="0.25">
      <c r="A27" t="s">
        <v>104</v>
      </c>
      <c r="B27" s="20" t="s">
        <v>64</v>
      </c>
      <c r="C27" s="20" t="s">
        <v>65</v>
      </c>
      <c r="D27" s="6"/>
      <c r="E27" s="7"/>
      <c r="F27" s="14">
        <v>50</v>
      </c>
      <c r="G27" s="36"/>
      <c r="H27" s="36"/>
      <c r="I27" s="31"/>
      <c r="J27" s="31"/>
      <c r="K27" s="31"/>
      <c r="L27" s="36"/>
      <c r="M27" s="36"/>
      <c r="N27" s="36"/>
      <c r="O27" s="31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1"/>
      <c r="AC27" s="36"/>
      <c r="AD27" s="36"/>
      <c r="AE27" s="36"/>
      <c r="AF27" s="36"/>
      <c r="AG27" s="36"/>
      <c r="AH27" s="36"/>
      <c r="AI27" s="36"/>
      <c r="AJ27" s="36"/>
      <c r="AK27" s="36"/>
      <c r="AL27" s="37">
        <f t="shared" si="0"/>
        <v>50</v>
      </c>
      <c r="AM27" s="30"/>
      <c r="AN27" s="30"/>
      <c r="AO27" s="30"/>
      <c r="AP27" s="16"/>
      <c r="AQ27" s="16"/>
    </row>
    <row r="28" spans="1:43" customFormat="1" ht="15" x14ac:dyDescent="0.25">
      <c r="A28" t="s">
        <v>104</v>
      </c>
      <c r="B28" s="20" t="s">
        <v>66</v>
      </c>
      <c r="C28" s="20" t="s">
        <v>67</v>
      </c>
      <c r="D28" s="6"/>
      <c r="E28" s="7"/>
      <c r="F28" s="14">
        <v>28</v>
      </c>
      <c r="G28" s="36"/>
      <c r="H28" s="36"/>
      <c r="I28" s="31">
        <v>-1</v>
      </c>
      <c r="J28" s="31"/>
      <c r="K28" s="31"/>
      <c r="L28" s="31">
        <v>-3</v>
      </c>
      <c r="M28" s="36"/>
      <c r="N28" s="36"/>
      <c r="O28" s="31">
        <v>-1</v>
      </c>
      <c r="P28" s="36"/>
      <c r="Q28" s="36"/>
      <c r="R28" s="36"/>
      <c r="S28" s="36"/>
      <c r="T28" s="36"/>
      <c r="U28" s="36"/>
      <c r="V28" s="31">
        <v>-13</v>
      </c>
      <c r="W28" s="31">
        <f>-1+-1+-1</f>
        <v>-3</v>
      </c>
      <c r="X28" s="36"/>
      <c r="Y28" s="36"/>
      <c r="Z28" s="34">
        <v>20</v>
      </c>
      <c r="AA28" s="31">
        <v>-5</v>
      </c>
      <c r="AB28" s="31">
        <v>-1</v>
      </c>
      <c r="AC28" s="31">
        <v>-24</v>
      </c>
      <c r="AD28" s="36"/>
      <c r="AE28" s="36"/>
      <c r="AF28" s="36"/>
      <c r="AG28" s="36"/>
      <c r="AH28" s="36"/>
      <c r="AI28" s="36"/>
      <c r="AJ28" s="36"/>
      <c r="AK28" s="34">
        <v>50</v>
      </c>
      <c r="AL28" s="37">
        <f t="shared" si="0"/>
        <v>47</v>
      </c>
      <c r="AM28" s="30"/>
      <c r="AN28" s="30"/>
      <c r="AO28" s="30"/>
      <c r="AP28" s="16"/>
      <c r="AQ28" s="16"/>
    </row>
    <row r="29" spans="1:43" customFormat="1" ht="15" x14ac:dyDescent="0.25">
      <c r="B29" s="20" t="s">
        <v>68</v>
      </c>
      <c r="C29" s="20" t="s">
        <v>69</v>
      </c>
      <c r="D29" s="6"/>
      <c r="E29" s="7"/>
      <c r="F29" s="14">
        <v>15</v>
      </c>
      <c r="G29" s="36"/>
      <c r="H29" s="36"/>
      <c r="I29" s="31"/>
      <c r="J29" s="31"/>
      <c r="K29" s="31"/>
      <c r="L29" s="36"/>
      <c r="M29" s="36"/>
      <c r="N29" s="36"/>
      <c r="O29" s="3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1"/>
      <c r="AC29" s="36"/>
      <c r="AD29" s="36"/>
      <c r="AE29" s="36"/>
      <c r="AF29" s="36"/>
      <c r="AG29" s="36"/>
      <c r="AH29" s="36"/>
      <c r="AI29" s="36"/>
      <c r="AJ29" s="36"/>
      <c r="AK29" s="36"/>
      <c r="AL29" s="37">
        <f t="shared" si="0"/>
        <v>15</v>
      </c>
      <c r="AM29" s="30"/>
      <c r="AN29" s="30"/>
      <c r="AO29" s="30"/>
      <c r="AP29" s="16"/>
      <c r="AQ29" s="16"/>
    </row>
    <row r="30" spans="1:43" customFormat="1" ht="15" x14ac:dyDescent="0.25">
      <c r="B30" s="20" t="s">
        <v>70</v>
      </c>
      <c r="C30" s="20" t="s">
        <v>71</v>
      </c>
      <c r="D30" s="6"/>
      <c r="E30" s="7"/>
      <c r="F30" s="14">
        <v>0</v>
      </c>
      <c r="G30" s="36"/>
      <c r="H30" s="36"/>
      <c r="I30" s="31"/>
      <c r="J30" s="31"/>
      <c r="K30" s="31"/>
      <c r="L30" s="36"/>
      <c r="M30" s="36"/>
      <c r="N30" s="36"/>
      <c r="O30" s="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1"/>
      <c r="AC30" s="36"/>
      <c r="AD30" s="36"/>
      <c r="AE30" s="36"/>
      <c r="AF30" s="36"/>
      <c r="AG30" s="36"/>
      <c r="AH30" s="36"/>
      <c r="AI30" s="36"/>
      <c r="AJ30" s="36"/>
      <c r="AK30" s="36"/>
      <c r="AL30" s="37">
        <f t="shared" si="0"/>
        <v>0</v>
      </c>
      <c r="AM30" s="30"/>
      <c r="AN30" s="30"/>
      <c r="AO30" s="30"/>
      <c r="AP30" s="16"/>
      <c r="AQ30" s="16"/>
    </row>
    <row r="31" spans="1:43" customFormat="1" ht="15" x14ac:dyDescent="0.25">
      <c r="A31" t="s">
        <v>104</v>
      </c>
      <c r="B31" s="20" t="s">
        <v>72</v>
      </c>
      <c r="C31" s="20" t="s">
        <v>73</v>
      </c>
      <c r="D31" s="6"/>
      <c r="E31" s="7"/>
      <c r="F31" s="14">
        <v>20</v>
      </c>
      <c r="G31" s="36"/>
      <c r="H31" s="36"/>
      <c r="I31" s="31"/>
      <c r="J31" s="31"/>
      <c r="K31" s="31"/>
      <c r="L31" s="36"/>
      <c r="M31" s="36"/>
      <c r="N31" s="36"/>
      <c r="O31" s="31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1"/>
      <c r="AC31" s="36"/>
      <c r="AD31" s="36"/>
      <c r="AE31" s="36"/>
      <c r="AF31" s="36"/>
      <c r="AG31" s="36"/>
      <c r="AH31" s="36"/>
      <c r="AI31" s="36"/>
      <c r="AJ31" s="36"/>
      <c r="AK31" s="36"/>
      <c r="AL31" s="37">
        <f t="shared" si="0"/>
        <v>20</v>
      </c>
      <c r="AM31" s="30"/>
      <c r="AN31" s="30"/>
      <c r="AO31" s="30"/>
      <c r="AP31" s="16"/>
      <c r="AQ31" s="16"/>
    </row>
    <row r="32" spans="1:43" customFormat="1" ht="15" x14ac:dyDescent="0.25">
      <c r="B32" s="33" t="s">
        <v>74</v>
      </c>
      <c r="C32" s="33" t="s">
        <v>75</v>
      </c>
      <c r="D32" s="6"/>
      <c r="E32" s="7"/>
      <c r="F32" s="14">
        <v>50</v>
      </c>
      <c r="G32" s="36"/>
      <c r="H32" s="36"/>
      <c r="I32" s="31"/>
      <c r="J32" s="31"/>
      <c r="K32" s="31"/>
      <c r="L32" s="36"/>
      <c r="M32" s="36"/>
      <c r="N32" s="36"/>
      <c r="O32" s="31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1"/>
      <c r="AC32" s="36"/>
      <c r="AD32" s="36"/>
      <c r="AE32" s="36"/>
      <c r="AF32" s="36"/>
      <c r="AG32" s="36"/>
      <c r="AH32" s="36"/>
      <c r="AI32" s="36"/>
      <c r="AJ32" s="36"/>
      <c r="AK32" s="36"/>
      <c r="AL32" s="37">
        <f t="shared" si="0"/>
        <v>50</v>
      </c>
      <c r="AM32" s="30"/>
      <c r="AN32" s="30"/>
      <c r="AO32" s="30"/>
      <c r="AP32" s="16"/>
      <c r="AQ32" s="16"/>
    </row>
    <row r="33" spans="1:43" customFormat="1" ht="15" x14ac:dyDescent="0.25">
      <c r="A33" t="s">
        <v>104</v>
      </c>
      <c r="B33" s="20" t="s">
        <v>76</v>
      </c>
      <c r="C33" s="20" t="s">
        <v>77</v>
      </c>
      <c r="D33" s="6"/>
      <c r="E33" s="7"/>
      <c r="F33" s="14">
        <v>94</v>
      </c>
      <c r="G33" s="36"/>
      <c r="H33" s="36"/>
      <c r="I33" s="31"/>
      <c r="J33" s="31"/>
      <c r="K33" s="31"/>
      <c r="L33" s="36"/>
      <c r="M33" s="36"/>
      <c r="N33" s="36"/>
      <c r="O33" s="31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1"/>
      <c r="AC33" s="36"/>
      <c r="AD33" s="36"/>
      <c r="AE33" s="36"/>
      <c r="AF33" s="36"/>
      <c r="AG33" s="36"/>
      <c r="AH33" s="36"/>
      <c r="AI33" s="36"/>
      <c r="AJ33" s="36"/>
      <c r="AK33" s="36"/>
      <c r="AL33" s="37">
        <f t="shared" si="0"/>
        <v>94</v>
      </c>
      <c r="AM33" s="30"/>
      <c r="AN33" s="30"/>
      <c r="AO33" s="30"/>
      <c r="AP33" s="16"/>
      <c r="AQ33" s="16"/>
    </row>
    <row r="34" spans="1:43" customFormat="1" ht="15" x14ac:dyDescent="0.25">
      <c r="A34" t="s">
        <v>104</v>
      </c>
      <c r="B34" s="20" t="s">
        <v>78</v>
      </c>
      <c r="C34" s="20" t="s">
        <v>79</v>
      </c>
      <c r="D34" s="6"/>
      <c r="E34" s="7"/>
      <c r="F34" s="14">
        <v>31</v>
      </c>
      <c r="G34" s="36"/>
      <c r="H34" s="36"/>
      <c r="I34" s="31">
        <v>-1</v>
      </c>
      <c r="J34" s="31"/>
      <c r="K34" s="34">
        <v>10</v>
      </c>
      <c r="L34" s="36"/>
      <c r="M34" s="36"/>
      <c r="N34" s="36"/>
      <c r="O34" s="31">
        <v>-1</v>
      </c>
      <c r="P34" s="36"/>
      <c r="Q34" s="36"/>
      <c r="R34" s="36"/>
      <c r="S34" s="36"/>
      <c r="T34" s="13">
        <v>10</v>
      </c>
      <c r="U34" s="36"/>
      <c r="V34" s="31">
        <v>-13</v>
      </c>
      <c r="W34" s="31">
        <f>-1+-1+-1</f>
        <v>-3</v>
      </c>
      <c r="X34" s="36"/>
      <c r="Y34" s="36"/>
      <c r="Z34" s="36"/>
      <c r="AA34" s="31">
        <f>-1+-1+-1</f>
        <v>-3</v>
      </c>
      <c r="AB34" s="31">
        <v>-30</v>
      </c>
      <c r="AC34" s="36"/>
      <c r="AD34" s="36"/>
      <c r="AE34" s="36"/>
      <c r="AF34" s="36"/>
      <c r="AG34" s="34">
        <v>11</v>
      </c>
      <c r="AH34" s="31">
        <f>-1+-1</f>
        <v>-2</v>
      </c>
      <c r="AI34" s="31">
        <v>-2</v>
      </c>
      <c r="AJ34" s="31">
        <v>-1</v>
      </c>
      <c r="AK34" s="31"/>
      <c r="AL34" s="37">
        <f t="shared" si="0"/>
        <v>6</v>
      </c>
      <c r="AM34" s="30"/>
      <c r="AN34" s="30"/>
      <c r="AO34" s="30"/>
      <c r="AP34" s="16"/>
      <c r="AQ34" s="16"/>
    </row>
    <row r="35" spans="1:43" customFormat="1" ht="15" x14ac:dyDescent="0.25">
      <c r="A35" t="s">
        <v>104</v>
      </c>
      <c r="B35" s="20" t="s">
        <v>80</v>
      </c>
      <c r="C35" s="20" t="s">
        <v>81</v>
      </c>
      <c r="D35" s="6"/>
      <c r="E35" s="7"/>
      <c r="F35" s="14">
        <v>0</v>
      </c>
      <c r="G35" s="36"/>
      <c r="H35" s="36"/>
      <c r="I35" s="31"/>
      <c r="J35" s="31"/>
      <c r="K35" s="31"/>
      <c r="L35" s="36"/>
      <c r="M35" s="36"/>
      <c r="N35" s="36"/>
      <c r="O35" s="3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1"/>
      <c r="AC35" s="36"/>
      <c r="AD35" s="36"/>
      <c r="AE35" s="36"/>
      <c r="AF35" s="36"/>
      <c r="AG35" s="36"/>
      <c r="AH35" s="36"/>
      <c r="AI35" s="36"/>
      <c r="AJ35" s="36"/>
      <c r="AK35" s="36"/>
      <c r="AL35" s="37">
        <f t="shared" si="0"/>
        <v>0</v>
      </c>
      <c r="AM35" s="30"/>
      <c r="AN35" s="30"/>
      <c r="AO35" s="30"/>
      <c r="AP35" s="16"/>
      <c r="AQ35" s="16"/>
    </row>
    <row r="36" spans="1:43" customFormat="1" ht="15" x14ac:dyDescent="0.25">
      <c r="A36" t="s">
        <v>104</v>
      </c>
      <c r="B36" s="20" t="s">
        <v>82</v>
      </c>
      <c r="C36" s="20" t="s">
        <v>83</v>
      </c>
      <c r="D36" s="6"/>
      <c r="E36" s="7"/>
      <c r="F36" s="14">
        <v>0</v>
      </c>
      <c r="G36" s="36"/>
      <c r="H36" s="36"/>
      <c r="I36" s="31"/>
      <c r="J36" s="31"/>
      <c r="K36" s="31"/>
      <c r="L36" s="36"/>
      <c r="M36" s="36"/>
      <c r="N36" s="36"/>
      <c r="O36" s="31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1"/>
      <c r="AC36" s="36"/>
      <c r="AD36" s="36"/>
      <c r="AE36" s="36"/>
      <c r="AF36" s="36"/>
      <c r="AG36" s="36"/>
      <c r="AH36" s="36"/>
      <c r="AI36" s="36"/>
      <c r="AJ36" s="36"/>
      <c r="AK36" s="36"/>
      <c r="AL36" s="37">
        <f t="shared" si="0"/>
        <v>0</v>
      </c>
      <c r="AM36" s="30"/>
      <c r="AN36" s="30"/>
      <c r="AO36" s="30"/>
      <c r="AP36" s="16"/>
      <c r="AQ36" s="16"/>
    </row>
    <row r="37" spans="1:43" customFormat="1" ht="15" x14ac:dyDescent="0.25">
      <c r="A37" t="s">
        <v>103</v>
      </c>
      <c r="B37" s="20" t="s">
        <v>84</v>
      </c>
      <c r="C37" s="20" t="s">
        <v>85</v>
      </c>
      <c r="D37" s="6"/>
      <c r="E37" s="7"/>
      <c r="F37" s="14">
        <f>270+2</f>
        <v>272</v>
      </c>
      <c r="G37" s="36"/>
      <c r="H37" s="31">
        <v>-12</v>
      </c>
      <c r="I37" s="36"/>
      <c r="J37" s="31">
        <v>-4</v>
      </c>
      <c r="K37" s="36"/>
      <c r="L37" s="31">
        <v>-69</v>
      </c>
      <c r="M37" s="36"/>
      <c r="N37" s="31">
        <v>-37</v>
      </c>
      <c r="O37" s="31"/>
      <c r="P37" s="36"/>
      <c r="Q37" s="36"/>
      <c r="R37" s="31">
        <f>-96+-52</f>
        <v>-148</v>
      </c>
      <c r="S37" s="36"/>
      <c r="T37" s="36"/>
      <c r="U37" s="36"/>
      <c r="V37" s="36"/>
      <c r="W37" s="36"/>
      <c r="X37" s="36"/>
      <c r="Y37" s="36"/>
      <c r="Z37" s="36"/>
      <c r="AA37" s="34">
        <v>200</v>
      </c>
      <c r="AB37" s="31">
        <f>-13+-12</f>
        <v>-25</v>
      </c>
      <c r="AC37" s="31">
        <f>-20+-20+-3</f>
        <v>-43</v>
      </c>
      <c r="AD37" s="36"/>
      <c r="AE37" s="36"/>
      <c r="AF37" s="36"/>
      <c r="AG37" s="36"/>
      <c r="AH37" s="31">
        <v>-121</v>
      </c>
      <c r="AI37" s="36"/>
      <c r="AJ37" s="31">
        <f>-7+-3</f>
        <v>-10</v>
      </c>
      <c r="AK37" s="36"/>
      <c r="AL37" s="37">
        <f t="shared" si="0"/>
        <v>3</v>
      </c>
      <c r="AM37" s="30"/>
      <c r="AN37" s="30"/>
      <c r="AO37" s="30"/>
      <c r="AP37" s="16"/>
      <c r="AQ37" s="16"/>
    </row>
    <row r="38" spans="1:43" customFormat="1" ht="15" x14ac:dyDescent="0.25">
      <c r="B38" s="20" t="s">
        <v>86</v>
      </c>
      <c r="C38" s="20" t="s">
        <v>87</v>
      </c>
      <c r="D38" s="6"/>
      <c r="E38" s="7"/>
      <c r="F38" s="14">
        <v>0</v>
      </c>
      <c r="G38" s="36"/>
      <c r="H38" s="36"/>
      <c r="I38" s="36"/>
      <c r="J38" s="36"/>
      <c r="K38" s="36"/>
      <c r="L38" s="36"/>
      <c r="M38" s="36"/>
      <c r="N38" s="36"/>
      <c r="O38" s="31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7">
        <f t="shared" si="0"/>
        <v>0</v>
      </c>
      <c r="AM38" s="30"/>
      <c r="AN38" s="30"/>
      <c r="AO38" s="30"/>
      <c r="AP38" s="16"/>
      <c r="AQ38" s="16"/>
    </row>
    <row r="39" spans="1:43" customFormat="1" ht="15" x14ac:dyDescent="0.25">
      <c r="A39" t="s">
        <v>103</v>
      </c>
      <c r="B39" s="20" t="s">
        <v>88</v>
      </c>
      <c r="C39" s="20" t="s">
        <v>89</v>
      </c>
      <c r="D39" s="6"/>
      <c r="E39" s="7"/>
      <c r="F39" s="14">
        <v>0</v>
      </c>
      <c r="G39" s="36"/>
      <c r="H39" s="36"/>
      <c r="I39" s="36"/>
      <c r="J39" s="36"/>
      <c r="K39" s="36"/>
      <c r="L39" s="36"/>
      <c r="M39" s="36"/>
      <c r="N39" s="36"/>
      <c r="O39" s="31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4">
        <v>200</v>
      </c>
      <c r="AJ39" s="31">
        <v>-200</v>
      </c>
      <c r="AK39" s="36"/>
      <c r="AL39" s="37">
        <f t="shared" si="0"/>
        <v>0</v>
      </c>
      <c r="AM39" s="30"/>
      <c r="AN39" s="30"/>
      <c r="AO39" s="30"/>
      <c r="AP39" s="16"/>
      <c r="AQ39" s="16"/>
    </row>
    <row r="40" spans="1:43" customFormat="1" ht="15" x14ac:dyDescent="0.25">
      <c r="B40" s="20" t="s">
        <v>90</v>
      </c>
      <c r="C40" s="20" t="s">
        <v>91</v>
      </c>
      <c r="D40" s="6"/>
      <c r="E40" s="7"/>
      <c r="F40" s="14">
        <v>14</v>
      </c>
      <c r="G40" s="36"/>
      <c r="H40" s="36"/>
      <c r="I40" s="36"/>
      <c r="J40" s="36"/>
      <c r="K40" s="36"/>
      <c r="L40" s="36"/>
      <c r="M40" s="36"/>
      <c r="N40" s="36"/>
      <c r="O40" s="31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7">
        <f t="shared" si="0"/>
        <v>14</v>
      </c>
      <c r="AM40" s="30"/>
      <c r="AN40" s="30"/>
      <c r="AO40" s="30"/>
      <c r="AP40" s="16"/>
      <c r="AQ40" s="16"/>
    </row>
    <row r="41" spans="1:43" customFormat="1" ht="15" x14ac:dyDescent="0.25">
      <c r="A41" t="s">
        <v>104</v>
      </c>
      <c r="B41" s="20" t="s">
        <v>92</v>
      </c>
      <c r="C41" s="20" t="s">
        <v>93</v>
      </c>
      <c r="D41" s="12"/>
      <c r="E41" s="3"/>
      <c r="F41" s="14">
        <v>1</v>
      </c>
      <c r="G41" s="31"/>
      <c r="H41" s="31"/>
      <c r="I41" s="31">
        <v>-1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4">
        <v>12</v>
      </c>
      <c r="AB41" s="34">
        <v>100</v>
      </c>
      <c r="AC41" s="31">
        <f>-1+-12</f>
        <v>-13</v>
      </c>
      <c r="AD41" s="31"/>
      <c r="AE41" s="31"/>
      <c r="AF41" s="31"/>
      <c r="AG41" s="31"/>
      <c r="AH41" s="31">
        <f>-1+-1</f>
        <v>-2</v>
      </c>
      <c r="AI41" s="31">
        <v>-2</v>
      </c>
      <c r="AJ41" s="31">
        <v>-1</v>
      </c>
      <c r="AK41" s="31">
        <v>-5</v>
      </c>
      <c r="AL41" s="37">
        <f t="shared" ref="AL41:AL51" si="1">SUM(G41:AK41)+F41</f>
        <v>89</v>
      </c>
    </row>
    <row r="42" spans="1:43" customFormat="1" ht="15" x14ac:dyDescent="0.25">
      <c r="A42" t="s">
        <v>104</v>
      </c>
      <c r="B42" s="20" t="s">
        <v>94</v>
      </c>
      <c r="C42" s="20" t="s">
        <v>95</v>
      </c>
      <c r="D42" s="12"/>
      <c r="E42" s="3"/>
      <c r="F42" s="14">
        <v>0</v>
      </c>
      <c r="G42" s="31"/>
      <c r="H42" s="31"/>
      <c r="I42" s="31"/>
      <c r="J42" s="31"/>
      <c r="K42" s="31"/>
      <c r="L42" s="31"/>
      <c r="M42" s="31"/>
      <c r="N42" s="13">
        <v>5</v>
      </c>
      <c r="O42" s="31">
        <f>-1+-4</f>
        <v>-5</v>
      </c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7">
        <f t="shared" si="1"/>
        <v>0</v>
      </c>
    </row>
    <row r="43" spans="1:43" customFormat="1" ht="15" x14ac:dyDescent="0.25">
      <c r="A43" t="s">
        <v>104</v>
      </c>
      <c r="B43" s="20" t="s">
        <v>96</v>
      </c>
      <c r="C43" s="20" t="s">
        <v>97</v>
      </c>
      <c r="D43" s="12"/>
      <c r="E43" s="3"/>
      <c r="F43" s="14">
        <v>49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7">
        <f t="shared" si="1"/>
        <v>49</v>
      </c>
    </row>
    <row r="44" spans="1:43" customFormat="1" ht="15" x14ac:dyDescent="0.25">
      <c r="A44" t="s">
        <v>103</v>
      </c>
      <c r="B44" s="20" t="s">
        <v>98</v>
      </c>
      <c r="C44" s="20" t="s">
        <v>99</v>
      </c>
      <c r="D44" s="12"/>
      <c r="E44" s="3"/>
      <c r="F44" s="14">
        <v>343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>
        <v>-4</v>
      </c>
      <c r="AC44" s="31"/>
      <c r="AD44" s="31"/>
      <c r="AE44" s="31"/>
      <c r="AF44" s="31"/>
      <c r="AG44" s="31"/>
      <c r="AH44" s="31"/>
      <c r="AI44" s="31"/>
      <c r="AJ44" s="31"/>
      <c r="AK44" s="31"/>
      <c r="AL44" s="37">
        <f t="shared" si="1"/>
        <v>339</v>
      </c>
    </row>
    <row r="45" spans="1:43" customFormat="1" ht="15" x14ac:dyDescent="0.25">
      <c r="A45" t="s">
        <v>103</v>
      </c>
      <c r="B45" s="20" t="s">
        <v>100</v>
      </c>
      <c r="C45" s="20" t="s">
        <v>101</v>
      </c>
      <c r="D45" s="12"/>
      <c r="E45" s="3"/>
      <c r="F45" s="14">
        <v>7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7">
        <f t="shared" si="1"/>
        <v>7</v>
      </c>
    </row>
    <row r="46" spans="1:43" customFormat="1" ht="15" x14ac:dyDescent="0.25">
      <c r="A46" s="29"/>
      <c r="B46" s="20"/>
      <c r="C46" s="20"/>
      <c r="D46" s="12"/>
      <c r="E46" s="3"/>
      <c r="F46" s="4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7">
        <f t="shared" si="1"/>
        <v>0</v>
      </c>
    </row>
    <row r="47" spans="1:43" customFormat="1" ht="15" x14ac:dyDescent="0.25">
      <c r="A47" s="29"/>
      <c r="B47" s="20"/>
      <c r="C47" s="20"/>
      <c r="D47" s="12"/>
      <c r="E47" s="3"/>
      <c r="F47" s="4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7">
        <f t="shared" si="1"/>
        <v>0</v>
      </c>
    </row>
    <row r="48" spans="1:43" customFormat="1" ht="14.25" customHeight="1" x14ac:dyDescent="0.25">
      <c r="A48" s="29"/>
      <c r="B48" s="20"/>
      <c r="C48" s="20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37">
        <f t="shared" si="1"/>
        <v>0</v>
      </c>
    </row>
    <row r="49" spans="1:38" customFormat="1" ht="15" x14ac:dyDescent="0.25">
      <c r="A49" s="29"/>
      <c r="B49" s="20"/>
      <c r="C49" s="20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37">
        <f t="shared" si="1"/>
        <v>0</v>
      </c>
    </row>
    <row r="50" spans="1:38" customFormat="1" ht="15" x14ac:dyDescent="0.25">
      <c r="A50" s="29"/>
      <c r="B50" s="20"/>
      <c r="C50" s="20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12"/>
      <c r="AL50" s="37">
        <f t="shared" si="1"/>
        <v>0</v>
      </c>
    </row>
    <row r="51" spans="1:38" customFormat="1" ht="15" x14ac:dyDescent="0.25">
      <c r="A51" s="29"/>
      <c r="B51" s="20"/>
      <c r="C51" s="20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12"/>
      <c r="AL51" s="37">
        <f t="shared" si="1"/>
        <v>0</v>
      </c>
    </row>
    <row r="52" spans="1:38" customFormat="1" ht="15" x14ac:dyDescent="0.25">
      <c r="A52" s="29"/>
      <c r="B52" s="20"/>
      <c r="C52" s="20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37">
        <f t="shared" ref="AL52:AL53" si="2">F52+SUM(G52:AK52)</f>
        <v>0</v>
      </c>
    </row>
    <row r="53" spans="1:38" customFormat="1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5">
        <f t="shared" si="2"/>
        <v>0</v>
      </c>
    </row>
    <row r="54" spans="1:38" ht="12.75" customHeight="1" x14ac:dyDescent="0.2">
      <c r="A54" s="3"/>
      <c r="B54" s="28"/>
      <c r="C54" s="28"/>
      <c r="D54" s="2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8" x14ac:dyDescent="0.2">
      <c r="A55" s="3"/>
      <c r="B55" s="28"/>
      <c r="C55" s="28"/>
      <c r="D55" s="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8" ht="79.5" customHeight="1" thickBot="1" x14ac:dyDescent="0.25">
      <c r="B56" s="8" t="s">
        <v>21</v>
      </c>
      <c r="C56" s="19"/>
      <c r="D56" s="19"/>
      <c r="E56" s="10" t="s">
        <v>22</v>
      </c>
      <c r="F56" s="22" t="s">
        <v>23</v>
      </c>
      <c r="G56" s="26" t="s">
        <v>24</v>
      </c>
      <c r="H56" s="27"/>
    </row>
    <row r="57" spans="1:38" ht="16.5" thickBot="1" x14ac:dyDescent="0.25">
      <c r="B57" s="8" t="s">
        <v>25</v>
      </c>
      <c r="C57" s="19"/>
      <c r="D57" s="19"/>
      <c r="E57" s="9"/>
      <c r="F57" s="21"/>
      <c r="G57" s="38"/>
      <c r="H57" s="39"/>
    </row>
    <row r="58" spans="1:38" ht="16.5" thickBot="1" x14ac:dyDescent="0.25">
      <c r="B58" s="8" t="s">
        <v>26</v>
      </c>
      <c r="C58" s="19"/>
      <c r="D58" s="19"/>
      <c r="E58" s="10"/>
      <c r="F58" s="22"/>
      <c r="G58" s="40"/>
      <c r="H58" s="41"/>
    </row>
    <row r="59" spans="1:38" ht="16.5" thickBot="1" x14ac:dyDescent="0.25">
      <c r="B59" s="8" t="s">
        <v>27</v>
      </c>
      <c r="C59" s="19"/>
      <c r="D59" s="19"/>
      <c r="E59" s="11"/>
      <c r="F59" s="23"/>
      <c r="G59" s="42"/>
      <c r="H59" s="43"/>
    </row>
    <row r="60" spans="1:38" ht="15.75" x14ac:dyDescent="0.2">
      <c r="B60" s="44" t="s">
        <v>28</v>
      </c>
      <c r="C60" s="17"/>
      <c r="D60" s="17"/>
      <c r="E60" s="47"/>
      <c r="F60" s="50"/>
      <c r="G60" s="53"/>
      <c r="H60" s="54"/>
    </row>
    <row r="61" spans="1:38" ht="15.75" x14ac:dyDescent="0.2">
      <c r="B61" s="45"/>
      <c r="C61" s="18"/>
      <c r="D61" s="18"/>
      <c r="E61" s="48"/>
      <c r="F61" s="51"/>
      <c r="G61" s="53"/>
      <c r="H61" s="54"/>
    </row>
    <row r="62" spans="1:38" ht="16.5" thickBot="1" x14ac:dyDescent="0.25">
      <c r="B62" s="46"/>
      <c r="C62" s="8"/>
      <c r="D62" s="8"/>
      <c r="E62" s="49"/>
      <c r="F62" s="52"/>
      <c r="G62" s="55"/>
      <c r="H62" s="56"/>
    </row>
  </sheetData>
  <mergeCells count="24">
    <mergeCell ref="G60:H62"/>
    <mergeCell ref="G57:H57"/>
    <mergeCell ref="G58:H58"/>
    <mergeCell ref="G59:H59"/>
    <mergeCell ref="B60:B62"/>
    <mergeCell ref="E60:E62"/>
    <mergeCell ref="F60:F62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L11:AL53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M69"/>
  <sheetViews>
    <sheetView workbookViewId="0">
      <pane xSplit="3" ySplit="10" topLeftCell="D32" activePane="bottomRight" state="frozen"/>
      <selection pane="topRight" activeCell="D1" sqref="D1"/>
      <selection pane="bottomLeft" activeCell="A11" sqref="A11"/>
      <selection pane="bottomRight" activeCell="Z39" sqref="Z39"/>
    </sheetView>
  </sheetViews>
  <sheetFormatPr defaultRowHeight="15" x14ac:dyDescent="0.25"/>
  <cols>
    <col min="2" max="2" width="12.140625" bestFit="1" customWidth="1"/>
    <col min="3" max="3" width="54.28515625" bestFit="1" customWidth="1"/>
    <col min="4" max="34" width="8.7109375" customWidth="1"/>
  </cols>
  <sheetData>
    <row r="1" spans="1:39" ht="22.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39" ht="15" customHeight="1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39" ht="15.75" customHeight="1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39" ht="15" customHeight="1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39" ht="15.75" customHeight="1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2">
        <v>0</v>
      </c>
      <c r="N5" s="71" t="s">
        <v>5</v>
      </c>
      <c r="O5" s="71"/>
      <c r="P5" s="72"/>
      <c r="Q5" s="73"/>
    </row>
    <row r="6" spans="1:39" ht="15.75" customHeight="1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39" ht="15.75" customHeight="1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9" spans="1:39" x14ac:dyDescent="0.25">
      <c r="A9" t="s">
        <v>12</v>
      </c>
    </row>
    <row r="10" spans="1:39" ht="26.25" x14ac:dyDescent="0.25">
      <c r="A10" s="24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105</v>
      </c>
      <c r="G10" s="35">
        <v>46054</v>
      </c>
      <c r="H10" s="35">
        <v>46055</v>
      </c>
      <c r="I10" s="35">
        <v>46056</v>
      </c>
      <c r="J10" s="35">
        <v>46057</v>
      </c>
      <c r="K10" s="35">
        <v>46058</v>
      </c>
      <c r="L10" s="35">
        <v>46059</v>
      </c>
      <c r="M10" s="35">
        <v>46060</v>
      </c>
      <c r="N10" s="35">
        <v>46061</v>
      </c>
      <c r="O10" s="35">
        <v>46062</v>
      </c>
      <c r="P10" s="35">
        <v>46063</v>
      </c>
      <c r="Q10" s="35">
        <v>46064</v>
      </c>
      <c r="R10" s="35">
        <v>46065</v>
      </c>
      <c r="S10" s="35">
        <v>46066</v>
      </c>
      <c r="T10" s="35">
        <v>46067</v>
      </c>
      <c r="U10" s="35">
        <v>46068</v>
      </c>
      <c r="V10" s="35">
        <v>46069</v>
      </c>
      <c r="W10" s="35">
        <v>46070</v>
      </c>
      <c r="X10" s="35">
        <v>46071</v>
      </c>
      <c r="Y10" s="35">
        <v>46072</v>
      </c>
      <c r="Z10" s="35">
        <v>46073</v>
      </c>
      <c r="AA10" s="35">
        <v>46074</v>
      </c>
      <c r="AB10" s="35">
        <v>46075</v>
      </c>
      <c r="AC10" s="35">
        <v>46076</v>
      </c>
      <c r="AD10" s="35">
        <v>46077</v>
      </c>
      <c r="AE10" s="35">
        <v>46078</v>
      </c>
      <c r="AF10" s="35">
        <v>46079</v>
      </c>
      <c r="AG10" s="35">
        <v>46080</v>
      </c>
      <c r="AH10" s="35">
        <v>46081</v>
      </c>
      <c r="AI10" s="14" t="s">
        <v>106</v>
      </c>
      <c r="AJ10" s="5" t="s">
        <v>18</v>
      </c>
      <c r="AK10" s="5" t="s">
        <v>19</v>
      </c>
      <c r="AL10" s="5" t="s">
        <v>20</v>
      </c>
      <c r="AM10" s="15"/>
    </row>
    <row r="11" spans="1:39" x14ac:dyDescent="0.25">
      <c r="A11" t="s">
        <v>102</v>
      </c>
      <c r="B11" s="20" t="s">
        <v>32</v>
      </c>
      <c r="C11" s="20" t="s">
        <v>33</v>
      </c>
      <c r="D11" s="6"/>
      <c r="E11" s="7"/>
      <c r="F11" s="14">
        <f>'Jan 2026'!AL11</f>
        <v>316</v>
      </c>
      <c r="G11" s="36"/>
      <c r="H11" s="31">
        <f>-17+-6</f>
        <v>-23</v>
      </c>
      <c r="I11" s="36"/>
      <c r="J11" s="31">
        <f>-16+-2+-9</f>
        <v>-27</v>
      </c>
      <c r="K11" s="31"/>
      <c r="L11" s="31"/>
      <c r="M11" s="31"/>
      <c r="N11" s="31"/>
      <c r="O11" s="31">
        <v>-2</v>
      </c>
      <c r="P11" s="36"/>
      <c r="Q11" s="36"/>
      <c r="R11" s="36"/>
      <c r="S11" s="31">
        <v>-31</v>
      </c>
      <c r="T11" s="36"/>
      <c r="U11" s="36"/>
      <c r="V11" s="31">
        <f>-36+-1</f>
        <v>-37</v>
      </c>
      <c r="W11" s="31">
        <f>-16+-2</f>
        <v>-18</v>
      </c>
      <c r="X11" s="31"/>
      <c r="Y11" s="31">
        <v>-21</v>
      </c>
      <c r="Z11" s="31">
        <f>-18+-12</f>
        <v>-30</v>
      </c>
      <c r="AA11" s="31"/>
      <c r="AB11" s="36"/>
      <c r="AC11" s="31">
        <f>-36+-4</f>
        <v>-40</v>
      </c>
      <c r="AD11" s="31">
        <v>-22</v>
      </c>
      <c r="AE11" s="36"/>
      <c r="AF11" s="36"/>
      <c r="AG11" s="36"/>
      <c r="AH11" s="31">
        <v>-8</v>
      </c>
      <c r="AI11" s="37">
        <f t="shared" ref="AI11:AI40" si="0">SUM(G11:AH11)+F11</f>
        <v>57</v>
      </c>
      <c r="AJ11" s="30"/>
      <c r="AK11" s="30"/>
      <c r="AL11" s="30"/>
      <c r="AM11" s="16"/>
    </row>
    <row r="12" spans="1:39" x14ac:dyDescent="0.25">
      <c r="A12" t="s">
        <v>102</v>
      </c>
      <c r="B12" s="20" t="s">
        <v>34</v>
      </c>
      <c r="C12" s="20" t="s">
        <v>35</v>
      </c>
      <c r="D12" s="6"/>
      <c r="E12" s="7"/>
      <c r="F12" s="14">
        <f>'Jan 2026'!AL12</f>
        <v>517</v>
      </c>
      <c r="G12" s="36"/>
      <c r="H12" s="31">
        <v>-6</v>
      </c>
      <c r="I12" s="36"/>
      <c r="J12" s="31">
        <v>-16</v>
      </c>
      <c r="K12" s="31"/>
      <c r="L12" s="31"/>
      <c r="M12" s="31"/>
      <c r="N12" s="31"/>
      <c r="O12" s="31">
        <v>-2</v>
      </c>
      <c r="P12" s="36"/>
      <c r="Q12" s="36"/>
      <c r="R12" s="36"/>
      <c r="S12" s="31"/>
      <c r="T12" s="36"/>
      <c r="U12" s="36"/>
      <c r="V12" s="31">
        <v>-36</v>
      </c>
      <c r="W12" s="31">
        <f>-16+-2</f>
        <v>-18</v>
      </c>
      <c r="X12" s="31"/>
      <c r="Y12" s="31">
        <v>-21</v>
      </c>
      <c r="Z12" s="31">
        <v>-9</v>
      </c>
      <c r="AA12" s="36"/>
      <c r="AB12" s="36"/>
      <c r="AC12" s="31">
        <v>-4</v>
      </c>
      <c r="AD12" s="36"/>
      <c r="AE12" s="36"/>
      <c r="AF12" s="36"/>
      <c r="AG12" s="36"/>
      <c r="AH12" s="36"/>
      <c r="AI12" s="37">
        <f t="shared" si="0"/>
        <v>405</v>
      </c>
      <c r="AJ12" s="30"/>
      <c r="AK12" s="30"/>
      <c r="AL12" s="30"/>
      <c r="AM12" s="16"/>
    </row>
    <row r="13" spans="1:39" x14ac:dyDescent="0.25">
      <c r="A13" t="s">
        <v>102</v>
      </c>
      <c r="B13" s="20" t="s">
        <v>36</v>
      </c>
      <c r="C13" s="20" t="s">
        <v>37</v>
      </c>
      <c r="D13" s="6"/>
      <c r="E13" s="7"/>
      <c r="F13" s="14">
        <f>'Jan 2026'!AL13</f>
        <v>29</v>
      </c>
      <c r="G13" s="36"/>
      <c r="H13" s="36"/>
      <c r="I13" s="36"/>
      <c r="J13" s="31"/>
      <c r="K13" s="31"/>
      <c r="L13" s="31"/>
      <c r="M13" s="31"/>
      <c r="N13" s="31"/>
      <c r="O13" s="31"/>
      <c r="P13" s="36"/>
      <c r="Q13" s="36"/>
      <c r="R13" s="31">
        <v>-5</v>
      </c>
      <c r="S13" s="31"/>
      <c r="T13" s="36"/>
      <c r="U13" s="36"/>
      <c r="V13" s="31"/>
      <c r="W13" s="31"/>
      <c r="X13" s="31"/>
      <c r="Y13" s="31"/>
      <c r="Z13" s="31"/>
      <c r="AA13" s="36"/>
      <c r="AB13" s="36"/>
      <c r="AC13" s="31"/>
      <c r="AD13" s="36"/>
      <c r="AE13" s="36"/>
      <c r="AF13" s="36"/>
      <c r="AG13" s="36"/>
      <c r="AH13" s="36"/>
      <c r="AI13" s="37">
        <f t="shared" si="0"/>
        <v>24</v>
      </c>
      <c r="AJ13" s="30"/>
      <c r="AK13" s="30"/>
      <c r="AL13" s="30"/>
      <c r="AM13" s="16"/>
    </row>
    <row r="14" spans="1:39" x14ac:dyDescent="0.25">
      <c r="A14" t="s">
        <v>102</v>
      </c>
      <c r="B14" s="20" t="s">
        <v>38</v>
      </c>
      <c r="C14" s="20" t="s">
        <v>39</v>
      </c>
      <c r="D14" s="6"/>
      <c r="E14" s="7"/>
      <c r="F14" s="14">
        <f>'Jan 2026'!AL14</f>
        <v>154</v>
      </c>
      <c r="G14" s="36"/>
      <c r="H14" s="36"/>
      <c r="I14" s="36"/>
      <c r="J14" s="31"/>
      <c r="K14" s="31"/>
      <c r="L14" s="31"/>
      <c r="M14" s="31"/>
      <c r="N14" s="31"/>
      <c r="O14" s="31"/>
      <c r="P14" s="36"/>
      <c r="Q14" s="36"/>
      <c r="R14" s="36"/>
      <c r="S14" s="31"/>
      <c r="T14" s="36"/>
      <c r="U14" s="36"/>
      <c r="V14" s="31"/>
      <c r="W14" s="31"/>
      <c r="X14" s="31"/>
      <c r="Y14" s="31"/>
      <c r="Z14" s="31"/>
      <c r="AA14" s="36"/>
      <c r="AB14" s="36"/>
      <c r="AC14" s="31"/>
      <c r="AD14" s="36"/>
      <c r="AE14" s="36"/>
      <c r="AF14" s="36"/>
      <c r="AG14" s="36"/>
      <c r="AH14" s="36"/>
      <c r="AI14" s="37">
        <f t="shared" si="0"/>
        <v>154</v>
      </c>
      <c r="AJ14" s="30"/>
      <c r="AK14" s="30"/>
      <c r="AL14" s="30"/>
      <c r="AM14" s="16"/>
    </row>
    <row r="15" spans="1:39" x14ac:dyDescent="0.25">
      <c r="A15" t="s">
        <v>31</v>
      </c>
      <c r="B15" s="20" t="s">
        <v>40</v>
      </c>
      <c r="C15" s="20" t="s">
        <v>41</v>
      </c>
      <c r="D15" s="6"/>
      <c r="E15" s="7"/>
      <c r="F15" s="14">
        <f>'Jan 2026'!AL15</f>
        <v>7</v>
      </c>
      <c r="G15" s="36"/>
      <c r="H15" s="36"/>
      <c r="I15" s="36"/>
      <c r="J15" s="31"/>
      <c r="K15" s="31"/>
      <c r="L15" s="31"/>
      <c r="M15" s="31"/>
      <c r="N15" s="31"/>
      <c r="O15" s="31"/>
      <c r="P15" s="36"/>
      <c r="Q15" s="36"/>
      <c r="R15" s="36"/>
      <c r="S15" s="31"/>
      <c r="T15" s="36"/>
      <c r="U15" s="36"/>
      <c r="V15" s="31"/>
      <c r="W15" s="31"/>
      <c r="X15" s="31"/>
      <c r="Y15" s="31"/>
      <c r="Z15" s="31"/>
      <c r="AA15" s="36"/>
      <c r="AB15" s="36"/>
      <c r="AC15" s="31"/>
      <c r="AD15" s="36"/>
      <c r="AE15" s="36"/>
      <c r="AF15" s="36"/>
      <c r="AG15" s="36"/>
      <c r="AH15" s="36"/>
      <c r="AI15" s="37">
        <f t="shared" si="0"/>
        <v>7</v>
      </c>
      <c r="AJ15" s="30"/>
      <c r="AK15" s="30"/>
      <c r="AL15" s="30"/>
      <c r="AM15" s="16"/>
    </row>
    <row r="16" spans="1:39" x14ac:dyDescent="0.25">
      <c r="B16" s="20" t="s">
        <v>42</v>
      </c>
      <c r="C16" s="20" t="s">
        <v>43</v>
      </c>
      <c r="D16" s="6"/>
      <c r="E16" s="7"/>
      <c r="F16" s="14">
        <f>'Jan 2026'!AL16</f>
        <v>0</v>
      </c>
      <c r="G16" s="36"/>
      <c r="H16" s="36"/>
      <c r="I16" s="36"/>
      <c r="J16" s="31"/>
      <c r="K16" s="31"/>
      <c r="L16" s="31"/>
      <c r="M16" s="31"/>
      <c r="N16" s="31"/>
      <c r="O16" s="31"/>
      <c r="P16" s="36"/>
      <c r="Q16" s="36"/>
      <c r="R16" s="36"/>
      <c r="S16" s="31"/>
      <c r="T16" s="36"/>
      <c r="U16" s="36"/>
      <c r="V16" s="31"/>
      <c r="W16" s="31"/>
      <c r="X16" s="31"/>
      <c r="Y16" s="31"/>
      <c r="Z16" s="31"/>
      <c r="AA16" s="36"/>
      <c r="AB16" s="36"/>
      <c r="AC16" s="31"/>
      <c r="AD16" s="36"/>
      <c r="AE16" s="36"/>
      <c r="AF16" s="36"/>
      <c r="AG16" s="36"/>
      <c r="AH16" s="36"/>
      <c r="AI16" s="37">
        <f t="shared" si="0"/>
        <v>0</v>
      </c>
      <c r="AJ16" s="30"/>
      <c r="AK16" s="30"/>
      <c r="AL16" s="30"/>
      <c r="AM16" s="16"/>
    </row>
    <row r="17" spans="1:39" x14ac:dyDescent="0.25">
      <c r="B17" s="20" t="s">
        <v>44</v>
      </c>
      <c r="C17" s="20" t="s">
        <v>45</v>
      </c>
      <c r="D17" s="6"/>
      <c r="E17" s="7"/>
      <c r="F17" s="14">
        <f>'Jan 2026'!AL17</f>
        <v>11</v>
      </c>
      <c r="G17" s="36"/>
      <c r="H17" s="36"/>
      <c r="I17" s="36"/>
      <c r="J17" s="31"/>
      <c r="K17" s="31"/>
      <c r="L17" s="31"/>
      <c r="M17" s="31"/>
      <c r="N17" s="31"/>
      <c r="O17" s="31"/>
      <c r="P17" s="36"/>
      <c r="Q17" s="36"/>
      <c r="R17" s="36"/>
      <c r="S17" s="31"/>
      <c r="T17" s="36"/>
      <c r="U17" s="36"/>
      <c r="V17" s="36"/>
      <c r="W17" s="31"/>
      <c r="X17" s="31"/>
      <c r="Y17" s="31"/>
      <c r="Z17" s="31"/>
      <c r="AA17" s="36"/>
      <c r="AB17" s="36"/>
      <c r="AC17" s="36"/>
      <c r="AD17" s="36"/>
      <c r="AE17" s="36"/>
      <c r="AF17" s="36"/>
      <c r="AG17" s="36"/>
      <c r="AH17" s="36"/>
      <c r="AI17" s="37">
        <f t="shared" si="0"/>
        <v>11</v>
      </c>
      <c r="AJ17" s="30"/>
      <c r="AK17" s="30"/>
      <c r="AL17" s="30"/>
      <c r="AM17" s="16"/>
    </row>
    <row r="18" spans="1:39" x14ac:dyDescent="0.25">
      <c r="B18" s="20" t="s">
        <v>46</v>
      </c>
      <c r="C18" s="20" t="s">
        <v>47</v>
      </c>
      <c r="D18" s="6"/>
      <c r="E18" s="7"/>
      <c r="F18" s="14">
        <f>'Jan 2026'!AL18</f>
        <v>3</v>
      </c>
      <c r="G18" s="36"/>
      <c r="H18" s="36"/>
      <c r="I18" s="31"/>
      <c r="J18" s="31"/>
      <c r="K18" s="31"/>
      <c r="L18" s="31"/>
      <c r="M18" s="31"/>
      <c r="N18" s="31"/>
      <c r="O18" s="31"/>
      <c r="P18" s="36"/>
      <c r="Q18" s="36"/>
      <c r="R18" s="36"/>
      <c r="S18" s="31"/>
      <c r="T18" s="36"/>
      <c r="U18" s="36"/>
      <c r="V18" s="36"/>
      <c r="W18" s="31"/>
      <c r="X18" s="31"/>
      <c r="Y18" s="31"/>
      <c r="Z18" s="31"/>
      <c r="AA18" s="36"/>
      <c r="AB18" s="36"/>
      <c r="AC18" s="36"/>
      <c r="AD18" s="36"/>
      <c r="AE18" s="36"/>
      <c r="AF18" s="36"/>
      <c r="AG18" s="36"/>
      <c r="AH18" s="36"/>
      <c r="AI18" s="37">
        <f t="shared" si="0"/>
        <v>3</v>
      </c>
      <c r="AJ18" s="30"/>
      <c r="AK18" s="30"/>
      <c r="AL18" s="30"/>
      <c r="AM18" s="16"/>
    </row>
    <row r="19" spans="1:39" x14ac:dyDescent="0.25">
      <c r="A19" t="s">
        <v>31</v>
      </c>
      <c r="B19" s="20" t="s">
        <v>48</v>
      </c>
      <c r="C19" s="20" t="s">
        <v>49</v>
      </c>
      <c r="D19" s="6"/>
      <c r="E19" s="7"/>
      <c r="F19" s="14">
        <f>'Jan 2026'!AL19</f>
        <v>25</v>
      </c>
      <c r="G19" s="36"/>
      <c r="H19" s="36"/>
      <c r="I19" s="31"/>
      <c r="J19" s="31"/>
      <c r="K19" s="31">
        <v>-25</v>
      </c>
      <c r="L19" s="31"/>
      <c r="M19" s="31"/>
      <c r="N19" s="31"/>
      <c r="O19" s="31"/>
      <c r="P19" s="36"/>
      <c r="Q19" s="36"/>
      <c r="R19" s="36"/>
      <c r="S19" s="31"/>
      <c r="T19" s="36"/>
      <c r="U19" s="36"/>
      <c r="V19" s="36"/>
      <c r="W19" s="31"/>
      <c r="X19" s="31"/>
      <c r="Y19" s="31"/>
      <c r="Z19" s="31"/>
      <c r="AA19" s="36"/>
      <c r="AB19" s="36"/>
      <c r="AC19" s="36"/>
      <c r="AD19" s="36"/>
      <c r="AE19" s="36"/>
      <c r="AF19" s="36"/>
      <c r="AG19" s="36"/>
      <c r="AH19" s="36"/>
      <c r="AI19" s="37">
        <f t="shared" si="0"/>
        <v>0</v>
      </c>
      <c r="AJ19" s="30"/>
      <c r="AK19" s="30"/>
      <c r="AL19" s="30"/>
      <c r="AM19" s="16"/>
    </row>
    <row r="20" spans="1:39" x14ac:dyDescent="0.25">
      <c r="A20" t="s">
        <v>102</v>
      </c>
      <c r="B20" s="20" t="s">
        <v>50</v>
      </c>
      <c r="C20" s="20" t="s">
        <v>51</v>
      </c>
      <c r="D20" s="6"/>
      <c r="E20" s="7"/>
      <c r="F20" s="14">
        <f>'Jan 2026'!AL20</f>
        <v>110</v>
      </c>
      <c r="G20" s="36"/>
      <c r="H20" s="31">
        <v>-25</v>
      </c>
      <c r="I20" s="31"/>
      <c r="J20" s="31">
        <f>-8+-10</f>
        <v>-18</v>
      </c>
      <c r="K20" s="31">
        <v>-9</v>
      </c>
      <c r="L20" s="31"/>
      <c r="M20" s="31">
        <v>-25</v>
      </c>
      <c r="N20" s="31"/>
      <c r="O20" s="31"/>
      <c r="P20" s="36"/>
      <c r="Q20" s="36"/>
      <c r="R20" s="36"/>
      <c r="S20" s="31">
        <v>-15</v>
      </c>
      <c r="T20" s="36"/>
      <c r="U20" s="36"/>
      <c r="V20" s="31">
        <v>-10</v>
      </c>
      <c r="W20" s="31"/>
      <c r="X20" s="31"/>
      <c r="Y20" s="31">
        <v>-1</v>
      </c>
      <c r="Z20" s="31">
        <f>-22+-12</f>
        <v>-34</v>
      </c>
      <c r="AA20" s="34">
        <v>185</v>
      </c>
      <c r="AB20" s="31">
        <v>-30</v>
      </c>
      <c r="AC20" s="31"/>
      <c r="AD20" s="31">
        <v>-22</v>
      </c>
      <c r="AE20" s="36"/>
      <c r="AF20" s="36"/>
      <c r="AG20" s="36"/>
      <c r="AH20" s="36"/>
      <c r="AI20" s="37">
        <f t="shared" si="0"/>
        <v>106</v>
      </c>
      <c r="AJ20" s="30"/>
      <c r="AK20" s="30"/>
      <c r="AL20" s="30"/>
      <c r="AM20" s="16"/>
    </row>
    <row r="21" spans="1:39" x14ac:dyDescent="0.25">
      <c r="B21" s="20" t="s">
        <v>52</v>
      </c>
      <c r="C21" s="32" t="s">
        <v>53</v>
      </c>
      <c r="D21" s="6"/>
      <c r="E21" s="7"/>
      <c r="F21" s="14">
        <f>'Jan 2026'!AL21</f>
        <v>6</v>
      </c>
      <c r="G21" s="36"/>
      <c r="H21" s="36"/>
      <c r="I21" s="31"/>
      <c r="J21" s="31"/>
      <c r="K21" s="31"/>
      <c r="L21" s="31"/>
      <c r="M21" s="31"/>
      <c r="N21" s="31"/>
      <c r="O21" s="31"/>
      <c r="P21" s="36"/>
      <c r="Q21" s="36"/>
      <c r="R21" s="36"/>
      <c r="S21" s="31"/>
      <c r="T21" s="36"/>
      <c r="U21" s="36"/>
      <c r="V21" s="36"/>
      <c r="W21" s="31"/>
      <c r="X21" s="31"/>
      <c r="Y21" s="31"/>
      <c r="Z21" s="31"/>
      <c r="AA21" s="36"/>
      <c r="AB21" s="31"/>
      <c r="AC21" s="36"/>
      <c r="AD21" s="36"/>
      <c r="AE21" s="36"/>
      <c r="AF21" s="36"/>
      <c r="AG21" s="36"/>
      <c r="AH21" s="36"/>
      <c r="AI21" s="37">
        <f t="shared" si="0"/>
        <v>6</v>
      </c>
      <c r="AJ21" s="30"/>
      <c r="AK21" s="30"/>
      <c r="AL21" s="30"/>
      <c r="AM21" s="16"/>
    </row>
    <row r="22" spans="1:39" x14ac:dyDescent="0.25">
      <c r="A22" t="s">
        <v>31</v>
      </c>
      <c r="B22" s="20" t="s">
        <v>54</v>
      </c>
      <c r="C22" s="32" t="s">
        <v>55</v>
      </c>
      <c r="D22" s="6"/>
      <c r="E22" s="7"/>
      <c r="F22" s="14">
        <f>'Jan 2026'!AL22</f>
        <v>150</v>
      </c>
      <c r="G22" s="36"/>
      <c r="H22" s="36"/>
      <c r="I22" s="31"/>
      <c r="J22" s="31"/>
      <c r="K22" s="31"/>
      <c r="L22" s="36"/>
      <c r="M22" s="36"/>
      <c r="N22" s="36"/>
      <c r="O22" s="36"/>
      <c r="P22" s="36"/>
      <c r="Q22" s="36"/>
      <c r="R22" s="36"/>
      <c r="S22" s="31"/>
      <c r="T22" s="36"/>
      <c r="U22" s="36"/>
      <c r="V22" s="36"/>
      <c r="W22" s="31"/>
      <c r="X22" s="31"/>
      <c r="Y22" s="31"/>
      <c r="Z22" s="31"/>
      <c r="AA22" s="36"/>
      <c r="AB22" s="31"/>
      <c r="AC22" s="36"/>
      <c r="AD22" s="36"/>
      <c r="AE22" s="36"/>
      <c r="AF22" s="36"/>
      <c r="AG22" s="36"/>
      <c r="AH22" s="36"/>
      <c r="AI22" s="37">
        <f t="shared" si="0"/>
        <v>150</v>
      </c>
      <c r="AJ22" s="30"/>
      <c r="AK22" s="30"/>
      <c r="AL22" s="30"/>
      <c r="AM22" s="16"/>
    </row>
    <row r="23" spans="1:39" x14ac:dyDescent="0.25">
      <c r="A23" t="s">
        <v>103</v>
      </c>
      <c r="B23" s="20" t="s">
        <v>56</v>
      </c>
      <c r="C23" s="20" t="s">
        <v>57</v>
      </c>
      <c r="D23" s="6"/>
      <c r="E23" s="7"/>
      <c r="F23" s="14">
        <f>'Jan 2026'!AL23</f>
        <v>987</v>
      </c>
      <c r="G23" s="36"/>
      <c r="H23" s="31">
        <v>-25</v>
      </c>
      <c r="I23" s="31">
        <v>-7</v>
      </c>
      <c r="J23" s="31"/>
      <c r="K23" s="31"/>
      <c r="L23" s="36"/>
      <c r="M23" s="36"/>
      <c r="N23" s="36"/>
      <c r="O23" s="36"/>
      <c r="P23" s="36"/>
      <c r="Q23" s="36"/>
      <c r="R23" s="36"/>
      <c r="S23" s="31"/>
      <c r="T23" s="36"/>
      <c r="U23" s="36"/>
      <c r="V23" s="31">
        <v>-424</v>
      </c>
      <c r="W23" s="31"/>
      <c r="X23" s="31"/>
      <c r="Y23" s="31">
        <v>-1</v>
      </c>
      <c r="Z23" s="31"/>
      <c r="AA23" s="36"/>
      <c r="AB23" s="31"/>
      <c r="AC23" s="36"/>
      <c r="AD23" s="36"/>
      <c r="AE23" s="36"/>
      <c r="AF23" s="36"/>
      <c r="AG23" s="36"/>
      <c r="AH23" s="36"/>
      <c r="AI23" s="37">
        <f t="shared" si="0"/>
        <v>530</v>
      </c>
      <c r="AJ23" s="30"/>
      <c r="AK23" s="30"/>
      <c r="AL23" s="30"/>
      <c r="AM23" s="16"/>
    </row>
    <row r="24" spans="1:39" x14ac:dyDescent="0.25">
      <c r="A24" t="s">
        <v>104</v>
      </c>
      <c r="B24" s="20" t="s">
        <v>58</v>
      </c>
      <c r="C24" s="20" t="s">
        <v>59</v>
      </c>
      <c r="D24" s="6"/>
      <c r="E24" s="7"/>
      <c r="F24" s="14">
        <f>'Jan 2026'!AL24</f>
        <v>31</v>
      </c>
      <c r="G24" s="36"/>
      <c r="H24" s="36"/>
      <c r="I24" s="31"/>
      <c r="J24" s="31"/>
      <c r="K24" s="31"/>
      <c r="L24" s="36"/>
      <c r="M24" s="36"/>
      <c r="N24" s="36"/>
      <c r="O24" s="31"/>
      <c r="P24" s="36"/>
      <c r="Q24" s="36"/>
      <c r="R24" s="36"/>
      <c r="S24" s="31"/>
      <c r="T24" s="36"/>
      <c r="U24" s="36"/>
      <c r="V24" s="36"/>
      <c r="W24" s="36"/>
      <c r="X24" s="36"/>
      <c r="Y24" s="36"/>
      <c r="Z24" s="36"/>
      <c r="AA24" s="36"/>
      <c r="AB24" s="31"/>
      <c r="AC24" s="36"/>
      <c r="AD24" s="36"/>
      <c r="AE24" s="36"/>
      <c r="AF24" s="36"/>
      <c r="AG24" s="36"/>
      <c r="AH24" s="36"/>
      <c r="AI24" s="37">
        <f t="shared" si="0"/>
        <v>31</v>
      </c>
      <c r="AJ24" s="30"/>
      <c r="AK24" s="30"/>
      <c r="AL24" s="30"/>
      <c r="AM24" s="16"/>
    </row>
    <row r="25" spans="1:39" x14ac:dyDescent="0.25">
      <c r="A25" t="s">
        <v>104</v>
      </c>
      <c r="B25" s="20" t="s">
        <v>60</v>
      </c>
      <c r="C25" s="20" t="s">
        <v>61</v>
      </c>
      <c r="D25" s="6"/>
      <c r="E25" s="7"/>
      <c r="F25" s="14">
        <f>'Jan 2026'!AL25</f>
        <v>50</v>
      </c>
      <c r="G25" s="36"/>
      <c r="H25" s="36"/>
      <c r="I25" s="31"/>
      <c r="J25" s="31"/>
      <c r="K25" s="31"/>
      <c r="L25" s="36"/>
      <c r="M25" s="36"/>
      <c r="N25" s="36"/>
      <c r="O25" s="31"/>
      <c r="P25" s="36"/>
      <c r="Q25" s="36"/>
      <c r="R25" s="36"/>
      <c r="S25" s="36"/>
      <c r="T25" s="36"/>
      <c r="U25" s="36"/>
      <c r="V25" s="31"/>
      <c r="W25" s="31"/>
      <c r="X25" s="36"/>
      <c r="Y25" s="36"/>
      <c r="Z25" s="36"/>
      <c r="AA25" s="31"/>
      <c r="AB25" s="31"/>
      <c r="AC25" s="31"/>
      <c r="AD25" s="36"/>
      <c r="AE25" s="36"/>
      <c r="AF25" s="31">
        <v>-2</v>
      </c>
      <c r="AG25" s="36"/>
      <c r="AH25" s="36"/>
      <c r="AI25" s="37">
        <f t="shared" si="0"/>
        <v>48</v>
      </c>
      <c r="AJ25" s="30"/>
      <c r="AK25" s="30"/>
      <c r="AL25" s="30"/>
      <c r="AM25" s="16"/>
    </row>
    <row r="26" spans="1:39" x14ac:dyDescent="0.25">
      <c r="A26" t="s">
        <v>104</v>
      </c>
      <c r="B26" s="20" t="s">
        <v>62</v>
      </c>
      <c r="C26" s="20" t="s">
        <v>63</v>
      </c>
      <c r="D26" s="6"/>
      <c r="E26" s="7"/>
      <c r="F26" s="14">
        <f>'Jan 2026'!AL26</f>
        <v>35</v>
      </c>
      <c r="G26" s="36"/>
      <c r="H26" s="36"/>
      <c r="I26" s="31"/>
      <c r="J26" s="31"/>
      <c r="K26" s="31"/>
      <c r="L26" s="36"/>
      <c r="M26" s="36"/>
      <c r="N26" s="36"/>
      <c r="O26" s="31"/>
      <c r="P26" s="36"/>
      <c r="Q26" s="36"/>
      <c r="R26" s="36"/>
      <c r="S26" s="36"/>
      <c r="T26" s="36"/>
      <c r="U26" s="36"/>
      <c r="V26" s="31">
        <v>-1</v>
      </c>
      <c r="W26" s="36"/>
      <c r="X26" s="36"/>
      <c r="Y26" s="36"/>
      <c r="Z26" s="36"/>
      <c r="AA26" s="31">
        <v>-5</v>
      </c>
      <c r="AB26" s="31"/>
      <c r="AC26" s="36"/>
      <c r="AD26" s="36"/>
      <c r="AE26" s="36"/>
      <c r="AF26" s="36"/>
      <c r="AG26" s="36"/>
      <c r="AH26" s="36"/>
      <c r="AI26" s="37">
        <f t="shared" si="0"/>
        <v>29</v>
      </c>
      <c r="AJ26" s="30"/>
      <c r="AK26" s="30"/>
      <c r="AL26" s="30"/>
      <c r="AM26" s="16"/>
    </row>
    <row r="27" spans="1:39" x14ac:dyDescent="0.25">
      <c r="A27" t="s">
        <v>104</v>
      </c>
      <c r="B27" s="20" t="s">
        <v>64</v>
      </c>
      <c r="C27" s="20" t="s">
        <v>65</v>
      </c>
      <c r="D27" s="6"/>
      <c r="E27" s="7"/>
      <c r="F27" s="14">
        <f>'Jan 2026'!AL27</f>
        <v>50</v>
      </c>
      <c r="G27" s="36"/>
      <c r="H27" s="36"/>
      <c r="I27" s="31"/>
      <c r="J27" s="31"/>
      <c r="K27" s="31"/>
      <c r="L27" s="36"/>
      <c r="M27" s="36"/>
      <c r="N27" s="36"/>
      <c r="O27" s="31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1"/>
      <c r="AC27" s="36"/>
      <c r="AD27" s="36"/>
      <c r="AE27" s="36"/>
      <c r="AF27" s="36"/>
      <c r="AG27" s="36"/>
      <c r="AH27" s="36"/>
      <c r="AI27" s="37">
        <f t="shared" si="0"/>
        <v>50</v>
      </c>
      <c r="AJ27" s="30"/>
      <c r="AK27" s="30"/>
      <c r="AL27" s="30"/>
      <c r="AM27" s="16"/>
    </row>
    <row r="28" spans="1:39" x14ac:dyDescent="0.25">
      <c r="A28" t="s">
        <v>104</v>
      </c>
      <c r="B28" s="20" t="s">
        <v>66</v>
      </c>
      <c r="C28" s="20" t="s">
        <v>67</v>
      </c>
      <c r="D28" s="6"/>
      <c r="E28" s="7"/>
      <c r="F28" s="14">
        <f>'Jan 2026'!AL28</f>
        <v>47</v>
      </c>
      <c r="G28" s="36"/>
      <c r="H28" s="36"/>
      <c r="I28" s="31"/>
      <c r="J28" s="31"/>
      <c r="K28" s="31"/>
      <c r="L28" s="36"/>
      <c r="M28" s="31">
        <v>-1</v>
      </c>
      <c r="N28" s="36"/>
      <c r="O28" s="31">
        <v>-1</v>
      </c>
      <c r="P28" s="31">
        <v>-1</v>
      </c>
      <c r="Q28" s="31">
        <v>-1</v>
      </c>
      <c r="R28" s="36"/>
      <c r="S28" s="36"/>
      <c r="T28" s="36"/>
      <c r="U28" s="36"/>
      <c r="V28" s="31"/>
      <c r="W28" s="31"/>
      <c r="X28" s="36"/>
      <c r="Y28" s="36"/>
      <c r="Z28" s="36"/>
      <c r="AA28" s="31"/>
      <c r="AB28" s="31"/>
      <c r="AC28" s="31"/>
      <c r="AD28" s="36"/>
      <c r="AE28" s="36"/>
      <c r="AF28" s="36"/>
      <c r="AG28" s="36"/>
      <c r="AH28" s="36"/>
      <c r="AI28" s="37">
        <f t="shared" si="0"/>
        <v>43</v>
      </c>
      <c r="AJ28" s="30"/>
      <c r="AK28" s="30"/>
      <c r="AL28" s="30"/>
      <c r="AM28" s="16"/>
    </row>
    <row r="29" spans="1:39" x14ac:dyDescent="0.25">
      <c r="B29" s="20" t="s">
        <v>68</v>
      </c>
      <c r="C29" s="20" t="s">
        <v>69</v>
      </c>
      <c r="D29" s="6"/>
      <c r="E29" s="7"/>
      <c r="F29" s="14">
        <f>'Jan 2026'!AL29</f>
        <v>15</v>
      </c>
      <c r="G29" s="36"/>
      <c r="H29" s="36"/>
      <c r="I29" s="31"/>
      <c r="J29" s="31"/>
      <c r="K29" s="31"/>
      <c r="L29" s="36"/>
      <c r="M29" s="36"/>
      <c r="N29" s="36"/>
      <c r="O29" s="31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1"/>
      <c r="AC29" s="36"/>
      <c r="AD29" s="36"/>
      <c r="AE29" s="36"/>
      <c r="AF29" s="36"/>
      <c r="AG29" s="36"/>
      <c r="AH29" s="36"/>
      <c r="AI29" s="37">
        <f t="shared" si="0"/>
        <v>15</v>
      </c>
      <c r="AJ29" s="30"/>
      <c r="AK29" s="30"/>
      <c r="AL29" s="30"/>
      <c r="AM29" s="16"/>
    </row>
    <row r="30" spans="1:39" x14ac:dyDescent="0.25">
      <c r="B30" s="20" t="s">
        <v>70</v>
      </c>
      <c r="C30" s="20" t="s">
        <v>71</v>
      </c>
      <c r="D30" s="6"/>
      <c r="E30" s="7"/>
      <c r="F30" s="14">
        <f>'Jan 2026'!AL30</f>
        <v>0</v>
      </c>
      <c r="G30" s="36"/>
      <c r="H30" s="36"/>
      <c r="I30" s="31"/>
      <c r="J30" s="31"/>
      <c r="K30" s="31"/>
      <c r="L30" s="36"/>
      <c r="M30" s="36"/>
      <c r="N30" s="36"/>
      <c r="O30" s="31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1"/>
      <c r="AC30" s="36"/>
      <c r="AD30" s="36"/>
      <c r="AE30" s="36"/>
      <c r="AF30" s="36"/>
      <c r="AG30" s="36"/>
      <c r="AH30" s="36"/>
      <c r="AI30" s="37">
        <f t="shared" si="0"/>
        <v>0</v>
      </c>
      <c r="AJ30" s="30"/>
      <c r="AK30" s="30"/>
      <c r="AL30" s="30"/>
      <c r="AM30" s="16"/>
    </row>
    <row r="31" spans="1:39" x14ac:dyDescent="0.25">
      <c r="A31" t="s">
        <v>104</v>
      </c>
      <c r="B31" s="20" t="s">
        <v>72</v>
      </c>
      <c r="C31" s="20" t="s">
        <v>73</v>
      </c>
      <c r="D31" s="6"/>
      <c r="E31" s="7"/>
      <c r="F31" s="14">
        <f>'Jan 2026'!AL31</f>
        <v>20</v>
      </c>
      <c r="G31" s="36"/>
      <c r="H31" s="36"/>
      <c r="I31" s="31"/>
      <c r="J31" s="31"/>
      <c r="K31" s="31"/>
      <c r="L31" s="36"/>
      <c r="M31" s="36"/>
      <c r="N31" s="36"/>
      <c r="O31" s="31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1"/>
      <c r="AC31" s="36"/>
      <c r="AD31" s="36"/>
      <c r="AE31" s="36"/>
      <c r="AF31" s="36"/>
      <c r="AG31" s="36"/>
      <c r="AH31" s="36"/>
      <c r="AI31" s="37">
        <f t="shared" si="0"/>
        <v>20</v>
      </c>
      <c r="AJ31" s="30"/>
      <c r="AK31" s="30"/>
      <c r="AL31" s="30"/>
      <c r="AM31" s="16"/>
    </row>
    <row r="32" spans="1:39" x14ac:dyDescent="0.25">
      <c r="B32" s="33" t="s">
        <v>74</v>
      </c>
      <c r="C32" s="33" t="s">
        <v>75</v>
      </c>
      <c r="D32" s="6"/>
      <c r="E32" s="7"/>
      <c r="F32" s="14">
        <f>'Jan 2026'!AL32</f>
        <v>50</v>
      </c>
      <c r="G32" s="36"/>
      <c r="H32" s="36"/>
      <c r="I32" s="31"/>
      <c r="J32" s="31"/>
      <c r="K32" s="31"/>
      <c r="L32" s="36"/>
      <c r="M32" s="36"/>
      <c r="N32" s="36"/>
      <c r="O32" s="31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1"/>
      <c r="AC32" s="36"/>
      <c r="AD32" s="36"/>
      <c r="AE32" s="36"/>
      <c r="AF32" s="36"/>
      <c r="AG32" s="36"/>
      <c r="AH32" s="36"/>
      <c r="AI32" s="37">
        <f t="shared" si="0"/>
        <v>50</v>
      </c>
      <c r="AJ32" s="30"/>
      <c r="AK32" s="30"/>
      <c r="AL32" s="30"/>
      <c r="AM32" s="16"/>
    </row>
    <row r="33" spans="1:39" x14ac:dyDescent="0.25">
      <c r="A33" t="s">
        <v>104</v>
      </c>
      <c r="B33" s="20" t="s">
        <v>76</v>
      </c>
      <c r="C33" s="20" t="s">
        <v>77</v>
      </c>
      <c r="D33" s="6"/>
      <c r="E33" s="7"/>
      <c r="F33" s="14">
        <f>'Jan 2026'!AL33</f>
        <v>94</v>
      </c>
      <c r="G33" s="36"/>
      <c r="H33" s="36"/>
      <c r="I33" s="31"/>
      <c r="J33" s="31"/>
      <c r="K33" s="31"/>
      <c r="L33" s="36"/>
      <c r="M33" s="36"/>
      <c r="N33" s="36"/>
      <c r="O33" s="31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1"/>
      <c r="AC33" s="36"/>
      <c r="AD33" s="36"/>
      <c r="AE33" s="36"/>
      <c r="AF33" s="36"/>
      <c r="AG33" s="36"/>
      <c r="AH33" s="36"/>
      <c r="AI33" s="37">
        <f t="shared" si="0"/>
        <v>94</v>
      </c>
      <c r="AJ33" s="30"/>
      <c r="AK33" s="30"/>
      <c r="AL33" s="30"/>
      <c r="AM33" s="16"/>
    </row>
    <row r="34" spans="1:39" x14ac:dyDescent="0.25">
      <c r="A34" t="s">
        <v>104</v>
      </c>
      <c r="B34" s="20" t="s">
        <v>78</v>
      </c>
      <c r="C34" s="20" t="s">
        <v>79</v>
      </c>
      <c r="D34" s="6"/>
      <c r="E34" s="7"/>
      <c r="F34" s="14">
        <f>'Jan 2026'!AL34</f>
        <v>6</v>
      </c>
      <c r="G34" s="36"/>
      <c r="H34" s="31">
        <v>-2</v>
      </c>
      <c r="I34" s="31"/>
      <c r="J34" s="31"/>
      <c r="K34" s="31"/>
      <c r="L34" s="36"/>
      <c r="M34" s="31">
        <v>-4</v>
      </c>
      <c r="N34" s="36"/>
      <c r="O34" s="31"/>
      <c r="P34" s="36"/>
      <c r="Q34" s="36"/>
      <c r="R34" s="36"/>
      <c r="S34" s="36"/>
      <c r="T34" s="36"/>
      <c r="U34" s="36"/>
      <c r="V34" s="31"/>
      <c r="W34" s="31"/>
      <c r="X34" s="36"/>
      <c r="Y34" s="36"/>
      <c r="Z34" s="36"/>
      <c r="AA34" s="31"/>
      <c r="AB34" s="31"/>
      <c r="AC34" s="36"/>
      <c r="AD34" s="36"/>
      <c r="AE34" s="36"/>
      <c r="AF34" s="36"/>
      <c r="AG34" s="36"/>
      <c r="AH34" s="31"/>
      <c r="AI34" s="37">
        <f t="shared" si="0"/>
        <v>0</v>
      </c>
      <c r="AJ34" s="30"/>
      <c r="AK34" s="30"/>
      <c r="AL34" s="30"/>
      <c r="AM34" s="16"/>
    </row>
    <row r="35" spans="1:39" x14ac:dyDescent="0.25">
      <c r="A35" t="s">
        <v>104</v>
      </c>
      <c r="B35" s="20" t="s">
        <v>80</v>
      </c>
      <c r="C35" s="20" t="s">
        <v>81</v>
      </c>
      <c r="D35" s="6"/>
      <c r="E35" s="7"/>
      <c r="F35" s="14">
        <f>'Jan 2026'!AL35</f>
        <v>0</v>
      </c>
      <c r="G35" s="36"/>
      <c r="H35" s="36"/>
      <c r="I35" s="31"/>
      <c r="J35" s="31"/>
      <c r="K35" s="31"/>
      <c r="L35" s="36"/>
      <c r="M35" s="36"/>
      <c r="N35" s="36"/>
      <c r="O35" s="31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1"/>
      <c r="AC35" s="36"/>
      <c r="AD35" s="13">
        <v>17</v>
      </c>
      <c r="AE35" s="36"/>
      <c r="AF35" s="36"/>
      <c r="AG35" s="36"/>
      <c r="AH35" s="36"/>
      <c r="AI35" s="37">
        <f t="shared" si="0"/>
        <v>17</v>
      </c>
      <c r="AJ35" s="30"/>
      <c r="AK35" s="30"/>
      <c r="AL35" s="30"/>
      <c r="AM35" s="16"/>
    </row>
    <row r="36" spans="1:39" x14ac:dyDescent="0.25">
      <c r="A36" t="s">
        <v>104</v>
      </c>
      <c r="B36" s="20" t="s">
        <v>82</v>
      </c>
      <c r="C36" s="20" t="s">
        <v>83</v>
      </c>
      <c r="D36" s="6"/>
      <c r="E36" s="7"/>
      <c r="F36" s="14">
        <f>'Jan 2026'!AL36</f>
        <v>0</v>
      </c>
      <c r="G36" s="36"/>
      <c r="H36" s="36"/>
      <c r="I36" s="31"/>
      <c r="J36" s="31"/>
      <c r="K36" s="31"/>
      <c r="L36" s="36"/>
      <c r="M36" s="36"/>
      <c r="N36" s="36"/>
      <c r="O36" s="31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1"/>
      <c r="AA36" s="31"/>
      <c r="AB36" s="31"/>
      <c r="AC36" s="31"/>
      <c r="AD36" s="31"/>
      <c r="AE36" s="36"/>
      <c r="AF36" s="36"/>
      <c r="AG36" s="36"/>
      <c r="AH36" s="36"/>
      <c r="AI36" s="37">
        <f t="shared" si="0"/>
        <v>0</v>
      </c>
      <c r="AJ36" s="30"/>
      <c r="AK36" s="30"/>
      <c r="AL36" s="30"/>
      <c r="AM36" s="16"/>
    </row>
    <row r="37" spans="1:39" x14ac:dyDescent="0.25">
      <c r="A37" t="s">
        <v>103</v>
      </c>
      <c r="B37" s="20" t="s">
        <v>84</v>
      </c>
      <c r="C37" s="20" t="s">
        <v>85</v>
      </c>
      <c r="D37" s="6"/>
      <c r="E37" s="7"/>
      <c r="F37" s="14">
        <f>'Jan 2026'!AL37</f>
        <v>3</v>
      </c>
      <c r="G37" s="36"/>
      <c r="H37" s="31"/>
      <c r="I37" s="36"/>
      <c r="J37" s="31"/>
      <c r="K37" s="36"/>
      <c r="L37" s="31"/>
      <c r="M37" s="36"/>
      <c r="N37" s="31"/>
      <c r="O37" s="31"/>
      <c r="P37" s="13">
        <v>100</v>
      </c>
      <c r="Q37" s="31">
        <v>-31</v>
      </c>
      <c r="R37" s="31">
        <v>-15</v>
      </c>
      <c r="S37" s="31">
        <f>-15+-15+-24</f>
        <v>-54</v>
      </c>
      <c r="T37" s="36"/>
      <c r="U37" s="36"/>
      <c r="V37" s="36"/>
      <c r="W37" s="36"/>
      <c r="X37" s="13">
        <v>200</v>
      </c>
      <c r="Y37" s="31">
        <f>-21+-1</f>
        <v>-22</v>
      </c>
      <c r="Z37" s="31">
        <f>-18+-12+-4+-22+-12+-12</f>
        <v>-80</v>
      </c>
      <c r="AA37" s="31">
        <f>-16+-1</f>
        <v>-17</v>
      </c>
      <c r="AB37" s="31"/>
      <c r="AC37" s="31">
        <v>-36</v>
      </c>
      <c r="AD37" s="31">
        <f>-4+-22+-22</f>
        <v>-48</v>
      </c>
      <c r="AE37" s="13">
        <v>250</v>
      </c>
      <c r="AF37" s="36"/>
      <c r="AG37" s="31">
        <v>-87</v>
      </c>
      <c r="AH37" s="31">
        <f>-7+-18+-8</f>
        <v>-33</v>
      </c>
      <c r="AI37" s="37">
        <f t="shared" si="0"/>
        <v>130</v>
      </c>
      <c r="AJ37" s="30"/>
      <c r="AK37" s="30"/>
      <c r="AL37" s="30"/>
      <c r="AM37" s="16"/>
    </row>
    <row r="38" spans="1:39" x14ac:dyDescent="0.25">
      <c r="B38" s="20" t="s">
        <v>86</v>
      </c>
      <c r="C38" s="20" t="s">
        <v>87</v>
      </c>
      <c r="D38" s="6"/>
      <c r="E38" s="7"/>
      <c r="F38" s="14">
        <f>'Jan 2026'!AL38</f>
        <v>0</v>
      </c>
      <c r="G38" s="36"/>
      <c r="H38" s="36"/>
      <c r="I38" s="36"/>
      <c r="J38" s="36"/>
      <c r="K38" s="36"/>
      <c r="L38" s="36"/>
      <c r="M38" s="36"/>
      <c r="N38" s="36"/>
      <c r="O38" s="31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1"/>
      <c r="AA38" s="31"/>
      <c r="AB38" s="31"/>
      <c r="AC38" s="31"/>
      <c r="AD38" s="31"/>
      <c r="AE38" s="36"/>
      <c r="AF38" s="36"/>
      <c r="AG38" s="36"/>
      <c r="AH38" s="36"/>
      <c r="AI38" s="37">
        <f t="shared" si="0"/>
        <v>0</v>
      </c>
      <c r="AJ38" s="30"/>
      <c r="AK38" s="30"/>
      <c r="AL38" s="30"/>
      <c r="AM38" s="16"/>
    </row>
    <row r="39" spans="1:39" x14ac:dyDescent="0.25">
      <c r="A39" t="s">
        <v>103</v>
      </c>
      <c r="B39" s="20" t="s">
        <v>88</v>
      </c>
      <c r="C39" s="20" t="s">
        <v>89</v>
      </c>
      <c r="D39" s="6"/>
      <c r="E39" s="7"/>
      <c r="F39" s="14">
        <f>'Jan 2026'!AL39</f>
        <v>0</v>
      </c>
      <c r="G39" s="36"/>
      <c r="H39" s="36"/>
      <c r="I39" s="36"/>
      <c r="J39" s="36"/>
      <c r="K39" s="36"/>
      <c r="L39" s="36"/>
      <c r="M39" s="36"/>
      <c r="N39" s="36"/>
      <c r="O39" s="31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4">
        <v>200</v>
      </c>
      <c r="AA39" s="31">
        <v>-200</v>
      </c>
      <c r="AB39" s="31"/>
      <c r="AC39" s="31"/>
      <c r="AD39" s="31"/>
      <c r="AE39" s="36"/>
      <c r="AF39" s="36"/>
      <c r="AG39" s="36"/>
      <c r="AH39" s="36"/>
      <c r="AI39" s="37">
        <f t="shared" si="0"/>
        <v>0</v>
      </c>
      <c r="AJ39" s="30"/>
      <c r="AK39" s="30"/>
      <c r="AL39" s="30"/>
      <c r="AM39" s="16"/>
    </row>
    <row r="40" spans="1:39" x14ac:dyDescent="0.25">
      <c r="B40" s="20" t="s">
        <v>90</v>
      </c>
      <c r="C40" s="20" t="s">
        <v>91</v>
      </c>
      <c r="D40" s="6"/>
      <c r="E40" s="7"/>
      <c r="F40" s="14">
        <f>'Jan 2026'!AL40</f>
        <v>14</v>
      </c>
      <c r="G40" s="36"/>
      <c r="H40" s="36"/>
      <c r="I40" s="36"/>
      <c r="J40" s="36"/>
      <c r="K40" s="36"/>
      <c r="L40" s="36"/>
      <c r="M40" s="36"/>
      <c r="N40" s="36"/>
      <c r="O40" s="31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1"/>
      <c r="AA40" s="31"/>
      <c r="AB40" s="31"/>
      <c r="AC40" s="31"/>
      <c r="AD40" s="31"/>
      <c r="AE40" s="36"/>
      <c r="AF40" s="36"/>
      <c r="AG40" s="36"/>
      <c r="AH40" s="36"/>
      <c r="AI40" s="37">
        <f t="shared" si="0"/>
        <v>14</v>
      </c>
      <c r="AJ40" s="30"/>
      <c r="AK40" s="30"/>
      <c r="AL40" s="30"/>
      <c r="AM40" s="16"/>
    </row>
    <row r="41" spans="1:39" x14ac:dyDescent="0.25">
      <c r="A41" t="s">
        <v>104</v>
      </c>
      <c r="B41" s="20" t="s">
        <v>92</v>
      </c>
      <c r="C41" s="20" t="s">
        <v>93</v>
      </c>
      <c r="D41" s="12"/>
      <c r="E41" s="3"/>
      <c r="F41" s="14">
        <f>'Jan 2026'!AL41</f>
        <v>89</v>
      </c>
      <c r="G41" s="31"/>
      <c r="H41" s="31"/>
      <c r="I41" s="31"/>
      <c r="J41" s="31">
        <f>-1+-2</f>
        <v>-3</v>
      </c>
      <c r="K41" s="31">
        <v>-1</v>
      </c>
      <c r="L41" s="31"/>
      <c r="M41" s="31">
        <v>-4</v>
      </c>
      <c r="N41" s="31"/>
      <c r="O41" s="31">
        <f>-2+-4</f>
        <v>-6</v>
      </c>
      <c r="P41" s="31">
        <v>-1</v>
      </c>
      <c r="Q41" s="31">
        <f>-2+-2</f>
        <v>-4</v>
      </c>
      <c r="R41" s="31"/>
      <c r="S41" s="31"/>
      <c r="T41" s="31"/>
      <c r="U41" s="31"/>
      <c r="V41" s="31">
        <v>-10</v>
      </c>
      <c r="W41" s="31"/>
      <c r="X41" s="31"/>
      <c r="Y41" s="31"/>
      <c r="Z41" s="31"/>
      <c r="AA41" s="31">
        <v>-1</v>
      </c>
      <c r="AB41" s="31"/>
      <c r="AC41" s="31"/>
      <c r="AD41" s="31">
        <f>-1+-1</f>
        <v>-2</v>
      </c>
      <c r="AE41" s="31">
        <f>-2+-1+-1</f>
        <v>-4</v>
      </c>
      <c r="AF41" s="31"/>
      <c r="AG41" s="31"/>
      <c r="AH41" s="31"/>
      <c r="AI41" s="37">
        <f t="shared" ref="AI41:AI51" si="1">SUM(G41:AH41)+F41</f>
        <v>53</v>
      </c>
    </row>
    <row r="42" spans="1:39" x14ac:dyDescent="0.25">
      <c r="A42" t="s">
        <v>104</v>
      </c>
      <c r="B42" s="20" t="s">
        <v>94</v>
      </c>
      <c r="C42" s="20" t="s">
        <v>95</v>
      </c>
      <c r="D42" s="12"/>
      <c r="E42" s="3"/>
      <c r="F42" s="14">
        <f>'Jan 2026'!AL42</f>
        <v>0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7">
        <f t="shared" si="1"/>
        <v>0</v>
      </c>
    </row>
    <row r="43" spans="1:39" x14ac:dyDescent="0.25">
      <c r="A43" t="s">
        <v>104</v>
      </c>
      <c r="B43" s="20" t="s">
        <v>96</v>
      </c>
      <c r="C43" s="20" t="s">
        <v>97</v>
      </c>
      <c r="D43" s="12"/>
      <c r="E43" s="3"/>
      <c r="F43" s="14">
        <f>'Jan 2026'!AL43</f>
        <v>49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7">
        <f t="shared" si="1"/>
        <v>49</v>
      </c>
    </row>
    <row r="44" spans="1:39" x14ac:dyDescent="0.25">
      <c r="A44" t="s">
        <v>103</v>
      </c>
      <c r="B44" s="20" t="s">
        <v>98</v>
      </c>
      <c r="C44" s="20" t="s">
        <v>99</v>
      </c>
      <c r="D44" s="12"/>
      <c r="E44" s="3"/>
      <c r="F44" s="14">
        <f>'Jan 2026'!AL44</f>
        <v>339</v>
      </c>
      <c r="G44" s="31"/>
      <c r="H44" s="31"/>
      <c r="I44" s="31"/>
      <c r="J44" s="31"/>
      <c r="K44" s="31">
        <v>-2</v>
      </c>
      <c r="L44" s="31"/>
      <c r="M44" s="31"/>
      <c r="N44" s="31"/>
      <c r="O44" s="31"/>
      <c r="P44" s="31"/>
      <c r="Q44" s="31"/>
      <c r="R44" s="31"/>
      <c r="S44" s="31">
        <v>-15</v>
      </c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7">
        <f t="shared" si="1"/>
        <v>322</v>
      </c>
    </row>
    <row r="45" spans="1:39" x14ac:dyDescent="0.25">
      <c r="A45" t="s">
        <v>103</v>
      </c>
      <c r="B45" s="20" t="s">
        <v>100</v>
      </c>
      <c r="C45" s="20" t="s">
        <v>101</v>
      </c>
      <c r="D45" s="12"/>
      <c r="E45" s="3"/>
      <c r="F45" s="14">
        <f>'Jan 2026'!AL45</f>
        <v>7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7">
        <f t="shared" si="1"/>
        <v>7</v>
      </c>
    </row>
    <row r="46" spans="1:39" x14ac:dyDescent="0.25">
      <c r="A46" s="29"/>
      <c r="B46" s="20"/>
      <c r="C46" s="20"/>
      <c r="D46" s="12"/>
      <c r="E46" s="3"/>
      <c r="F46" s="4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37">
        <f t="shared" si="1"/>
        <v>0</v>
      </c>
    </row>
    <row r="47" spans="1:39" x14ac:dyDescent="0.25">
      <c r="A47" s="29"/>
      <c r="B47" s="20"/>
      <c r="C47" s="20"/>
      <c r="D47" s="12"/>
      <c r="E47" s="3"/>
      <c r="F47" s="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37">
        <f t="shared" si="1"/>
        <v>0</v>
      </c>
    </row>
    <row r="48" spans="1:39" x14ac:dyDescent="0.25">
      <c r="A48" s="29"/>
      <c r="B48" s="20"/>
      <c r="C48" s="20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37">
        <f t="shared" si="1"/>
        <v>0</v>
      </c>
    </row>
    <row r="49" spans="1:39" x14ac:dyDescent="0.25">
      <c r="A49" s="29"/>
      <c r="B49" s="20"/>
      <c r="C49" s="20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25">
        <f t="shared" si="1"/>
        <v>0</v>
      </c>
    </row>
    <row r="50" spans="1:39" x14ac:dyDescent="0.25">
      <c r="A50" s="29"/>
      <c r="B50" s="20"/>
      <c r="C50" s="20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25">
        <f t="shared" si="1"/>
        <v>0</v>
      </c>
    </row>
    <row r="51" spans="1:39" x14ac:dyDescent="0.25">
      <c r="A51" s="29"/>
      <c r="B51" s="20"/>
      <c r="C51" s="20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25">
        <f t="shared" si="1"/>
        <v>0</v>
      </c>
    </row>
    <row r="52" spans="1:39" x14ac:dyDescent="0.25">
      <c r="A52" s="29"/>
      <c r="B52" s="20"/>
      <c r="C52" s="20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25">
        <f>F52+SUM(G52:AH52)</f>
        <v>0</v>
      </c>
    </row>
    <row r="53" spans="1:39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25">
        <f>F53+SUM(G53:AH53)</f>
        <v>0</v>
      </c>
    </row>
    <row r="54" spans="1:39" x14ac:dyDescent="0.25">
      <c r="A54" s="3"/>
      <c r="B54" s="28"/>
      <c r="C54" s="28"/>
      <c r="D54" s="2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"/>
      <c r="AJ54" s="1"/>
      <c r="AK54" s="1"/>
      <c r="AL54" s="1"/>
      <c r="AM54" s="1"/>
    </row>
    <row r="55" spans="1:39" x14ac:dyDescent="0.25">
      <c r="A55" s="3"/>
      <c r="B55" s="28"/>
      <c r="C55" s="28"/>
      <c r="D55" s="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1"/>
      <c r="AJ55" s="1"/>
      <c r="AK55" s="1"/>
      <c r="AL55" s="1"/>
      <c r="AM55" s="1"/>
    </row>
    <row r="56" spans="1:39" ht="32.25" thickBot="1" x14ac:dyDescent="0.3">
      <c r="A56" s="1"/>
      <c r="B56" s="8" t="s">
        <v>21</v>
      </c>
      <c r="C56" s="19"/>
      <c r="D56" s="19"/>
      <c r="E56" s="10" t="s">
        <v>22</v>
      </c>
      <c r="F56" s="22" t="s">
        <v>23</v>
      </c>
      <c r="G56" s="26" t="s">
        <v>24</v>
      </c>
      <c r="H56" s="2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16.5" thickBot="1" x14ac:dyDescent="0.3">
      <c r="A57" s="1"/>
      <c r="B57" s="8" t="s">
        <v>25</v>
      </c>
      <c r="C57" s="19"/>
      <c r="D57" s="19"/>
      <c r="E57" s="9"/>
      <c r="F57" s="21"/>
      <c r="G57" s="38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32.25" thickBot="1" x14ac:dyDescent="0.3">
      <c r="A58" s="1"/>
      <c r="B58" s="8" t="s">
        <v>26</v>
      </c>
      <c r="C58" s="19"/>
      <c r="D58" s="19"/>
      <c r="E58" s="10"/>
      <c r="F58" s="22"/>
      <c r="G58" s="40"/>
      <c r="H58" s="4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16.5" thickBot="1" x14ac:dyDescent="0.3">
      <c r="A59" s="1"/>
      <c r="B59" s="8" t="s">
        <v>27</v>
      </c>
      <c r="C59" s="19"/>
      <c r="D59" s="19"/>
      <c r="E59" s="11"/>
      <c r="F59" s="23"/>
      <c r="G59" s="42"/>
      <c r="H59" s="4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15.75" x14ac:dyDescent="0.25">
      <c r="A60" s="1"/>
      <c r="B60" s="44" t="s">
        <v>28</v>
      </c>
      <c r="C60" s="17"/>
      <c r="D60" s="17"/>
      <c r="E60" s="47"/>
      <c r="F60" s="50"/>
      <c r="G60" s="53"/>
      <c r="H60" s="5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15.75" x14ac:dyDescent="0.25">
      <c r="A61" s="1"/>
      <c r="B61" s="45"/>
      <c r="C61" s="18"/>
      <c r="D61" s="18"/>
      <c r="E61" s="48"/>
      <c r="F61" s="51"/>
      <c r="G61" s="53"/>
      <c r="H61" s="5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16.5" thickBot="1" x14ac:dyDescent="0.3">
      <c r="A62" s="1"/>
      <c r="B62" s="46"/>
      <c r="C62" s="8"/>
      <c r="D62" s="8"/>
      <c r="E62" s="49"/>
      <c r="F62" s="52"/>
      <c r="G62" s="55"/>
      <c r="H62" s="5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9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</sheetData>
  <mergeCells count="24">
    <mergeCell ref="G57:H57"/>
    <mergeCell ref="G58:H58"/>
    <mergeCell ref="G59:H59"/>
    <mergeCell ref="B60:B62"/>
    <mergeCell ref="E60:E62"/>
    <mergeCell ref="F60:F62"/>
    <mergeCell ref="G60:H62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</mergeCells>
  <conditionalFormatting sqref="AI11:AI53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030AF-D026-450B-982F-22F0BDEE1E51}">
  <sheetPr codeName="Sheet3"/>
  <dimension ref="A1:AQ62"/>
  <sheetViews>
    <sheetView workbookViewId="0">
      <pane xSplit="4" ySplit="10" topLeftCell="V17" activePane="bottomRight" state="frozen"/>
      <selection pane="topRight" activeCell="E1" sqref="E1"/>
      <selection pane="bottomLeft" activeCell="A11" sqref="A11"/>
      <selection pane="bottomRight" activeCell="AA24" sqref="AA24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3" customFormat="1" ht="15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3" customFormat="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3" customFormat="1" ht="15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3" customFormat="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2">
        <v>0</v>
      </c>
      <c r="N5" s="71" t="s">
        <v>5</v>
      </c>
      <c r="O5" s="71"/>
      <c r="P5" s="72"/>
      <c r="Q5" s="73"/>
    </row>
    <row r="6" spans="1:43" customFormat="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3" customFormat="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4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105</v>
      </c>
      <c r="G10" s="35">
        <v>46082</v>
      </c>
      <c r="H10" s="35">
        <v>46083</v>
      </c>
      <c r="I10" s="35">
        <v>46084</v>
      </c>
      <c r="J10" s="35">
        <v>46085</v>
      </c>
      <c r="K10" s="35">
        <v>46086</v>
      </c>
      <c r="L10" s="35">
        <v>46087</v>
      </c>
      <c r="M10" s="35">
        <v>46088</v>
      </c>
      <c r="N10" s="35">
        <v>46089</v>
      </c>
      <c r="O10" s="35">
        <v>46090</v>
      </c>
      <c r="P10" s="35">
        <v>46091</v>
      </c>
      <c r="Q10" s="35">
        <v>46092</v>
      </c>
      <c r="R10" s="35">
        <v>46093</v>
      </c>
      <c r="S10" s="35">
        <v>46094</v>
      </c>
      <c r="T10" s="35">
        <v>46095</v>
      </c>
      <c r="U10" s="35">
        <v>46096</v>
      </c>
      <c r="V10" s="35">
        <v>46097</v>
      </c>
      <c r="W10" s="35">
        <v>46098</v>
      </c>
      <c r="X10" s="35">
        <v>46099</v>
      </c>
      <c r="Y10" s="35">
        <v>46100</v>
      </c>
      <c r="Z10" s="35">
        <v>46101</v>
      </c>
      <c r="AA10" s="35">
        <v>46102</v>
      </c>
      <c r="AB10" s="35">
        <v>46103</v>
      </c>
      <c r="AC10" s="35">
        <v>46104</v>
      </c>
      <c r="AD10" s="35">
        <v>46105</v>
      </c>
      <c r="AE10" s="35">
        <v>46106</v>
      </c>
      <c r="AF10" s="35">
        <v>46107</v>
      </c>
      <c r="AG10" s="35">
        <v>46108</v>
      </c>
      <c r="AH10" s="35">
        <v>46109</v>
      </c>
      <c r="AI10" s="35">
        <v>46110</v>
      </c>
      <c r="AJ10" s="35">
        <v>46111</v>
      </c>
      <c r="AK10" s="35">
        <v>46112</v>
      </c>
      <c r="AL10" s="14" t="s">
        <v>106</v>
      </c>
      <c r="AM10" s="5" t="s">
        <v>18</v>
      </c>
      <c r="AN10" s="5" t="s">
        <v>19</v>
      </c>
      <c r="AO10" s="5" t="s">
        <v>20</v>
      </c>
      <c r="AP10" s="15"/>
      <c r="AQ10" s="16"/>
    </row>
    <row r="11" spans="1:43" customFormat="1" ht="15" x14ac:dyDescent="0.25">
      <c r="A11" t="s">
        <v>102</v>
      </c>
      <c r="B11" s="20" t="s">
        <v>32</v>
      </c>
      <c r="C11" s="20" t="s">
        <v>33</v>
      </c>
      <c r="D11" s="6"/>
      <c r="E11" s="7"/>
      <c r="F11" s="14">
        <f>'Feb 2026'!AI11</f>
        <v>57</v>
      </c>
      <c r="G11" s="36"/>
      <c r="H11" s="36"/>
      <c r="I11" s="31">
        <v>-43</v>
      </c>
      <c r="J11" s="36"/>
      <c r="K11" s="36"/>
      <c r="L11" s="31"/>
      <c r="M11" s="36"/>
      <c r="N11" s="36"/>
      <c r="O11" s="31"/>
      <c r="P11" s="36"/>
      <c r="Q11" s="31">
        <v>-5</v>
      </c>
      <c r="R11" s="36"/>
      <c r="S11" s="31"/>
      <c r="T11" s="36"/>
      <c r="U11" s="36"/>
      <c r="V11" s="31">
        <v>-8</v>
      </c>
      <c r="W11" s="36"/>
      <c r="X11" s="36"/>
      <c r="Y11" s="36"/>
      <c r="Z11" s="36"/>
      <c r="AA11" s="31"/>
      <c r="AB11" s="36"/>
      <c r="AC11" s="31"/>
      <c r="AD11" s="36"/>
      <c r="AE11" s="36"/>
      <c r="AF11" s="36"/>
      <c r="AG11" s="31">
        <v>-1</v>
      </c>
      <c r="AH11" s="31"/>
      <c r="AI11" s="31"/>
      <c r="AJ11" s="31"/>
      <c r="AK11" s="36"/>
      <c r="AL11" s="37">
        <f>SUM(G11:AK11)+F11</f>
        <v>0</v>
      </c>
      <c r="AM11" s="30">
        <v>200</v>
      </c>
      <c r="AN11" s="30">
        <v>250</v>
      </c>
      <c r="AO11" s="30">
        <v>1500</v>
      </c>
      <c r="AP11" s="16"/>
      <c r="AQ11" s="16"/>
    </row>
    <row r="12" spans="1:43" customFormat="1" ht="15" x14ac:dyDescent="0.25">
      <c r="A12" t="s">
        <v>102</v>
      </c>
      <c r="B12" s="20" t="s">
        <v>34</v>
      </c>
      <c r="C12" s="20" t="s">
        <v>35</v>
      </c>
      <c r="D12" s="6"/>
      <c r="E12" s="7"/>
      <c r="F12" s="14">
        <f>'Feb 2026'!AI12</f>
        <v>405</v>
      </c>
      <c r="G12" s="36"/>
      <c r="H12" s="36"/>
      <c r="I12" s="36"/>
      <c r="J12" s="36"/>
      <c r="K12" s="36"/>
      <c r="L12" s="31"/>
      <c r="M12" s="36"/>
      <c r="N12" s="36"/>
      <c r="O12" s="31"/>
      <c r="P12" s="36"/>
      <c r="Q12" s="36"/>
      <c r="R12" s="36"/>
      <c r="S12" s="31"/>
      <c r="T12" s="36"/>
      <c r="U12" s="36"/>
      <c r="V12" s="36"/>
      <c r="W12" s="36"/>
      <c r="X12" s="36"/>
      <c r="Y12" s="36"/>
      <c r="Z12" s="36"/>
      <c r="AA12" s="31">
        <v>-6</v>
      </c>
      <c r="AB12" s="36"/>
      <c r="AC12" s="31"/>
      <c r="AD12" s="36"/>
      <c r="AE12" s="36"/>
      <c r="AF12" s="36"/>
      <c r="AG12" s="31">
        <v>-1</v>
      </c>
      <c r="AH12" s="36"/>
      <c r="AI12" s="31"/>
      <c r="AJ12" s="31">
        <v>-2</v>
      </c>
      <c r="AK12" s="36"/>
      <c r="AL12" s="37">
        <f t="shared" ref="AL12:AL51" si="0">SUM(G12:AK12)+F12</f>
        <v>396</v>
      </c>
      <c r="AM12" s="30">
        <v>200</v>
      </c>
      <c r="AN12" s="30">
        <v>250</v>
      </c>
      <c r="AO12" s="30">
        <v>1500</v>
      </c>
      <c r="AP12" s="16"/>
      <c r="AQ12" s="16"/>
    </row>
    <row r="13" spans="1:43" customFormat="1" ht="15" x14ac:dyDescent="0.25">
      <c r="A13" t="s">
        <v>102</v>
      </c>
      <c r="B13" s="20" t="s">
        <v>36</v>
      </c>
      <c r="C13" s="20" t="s">
        <v>37</v>
      </c>
      <c r="D13" s="6"/>
      <c r="E13" s="7"/>
      <c r="F13" s="14">
        <f>'Feb 2026'!AI13</f>
        <v>24</v>
      </c>
      <c r="G13" s="36"/>
      <c r="H13" s="36"/>
      <c r="I13" s="36"/>
      <c r="J13" s="36"/>
      <c r="K13" s="36"/>
      <c r="L13" s="31"/>
      <c r="M13" s="36"/>
      <c r="N13" s="36"/>
      <c r="O13" s="31"/>
      <c r="P13" s="36"/>
      <c r="Q13" s="36"/>
      <c r="R13" s="31">
        <v>-5</v>
      </c>
      <c r="S13" s="31">
        <v>-5</v>
      </c>
      <c r="T13" s="36"/>
      <c r="U13" s="36"/>
      <c r="V13" s="36"/>
      <c r="W13" s="36"/>
      <c r="X13" s="36"/>
      <c r="Y13" s="36"/>
      <c r="Z13" s="36"/>
      <c r="AA13" s="36"/>
      <c r="AB13" s="36"/>
      <c r="AC13" s="31"/>
      <c r="AD13" s="36"/>
      <c r="AE13" s="36"/>
      <c r="AF13" s="36"/>
      <c r="AG13" s="31">
        <v>-1</v>
      </c>
      <c r="AH13" s="36"/>
      <c r="AI13" s="31"/>
      <c r="AJ13" s="31"/>
      <c r="AK13" s="36"/>
      <c r="AL13" s="37">
        <f t="shared" si="0"/>
        <v>13</v>
      </c>
      <c r="AM13" s="30">
        <v>200</v>
      </c>
      <c r="AN13" s="30">
        <v>250</v>
      </c>
      <c r="AO13" s="30">
        <v>500</v>
      </c>
      <c r="AP13" s="16"/>
      <c r="AQ13" s="16"/>
    </row>
    <row r="14" spans="1:43" customFormat="1" ht="15" x14ac:dyDescent="0.25">
      <c r="A14" t="s">
        <v>102</v>
      </c>
      <c r="B14" s="20" t="s">
        <v>38</v>
      </c>
      <c r="C14" s="20" t="s">
        <v>39</v>
      </c>
      <c r="D14" s="6"/>
      <c r="E14" s="7"/>
      <c r="F14" s="14">
        <f>'Feb 2026'!AI14</f>
        <v>154</v>
      </c>
      <c r="G14" s="36"/>
      <c r="H14" s="36"/>
      <c r="I14" s="36"/>
      <c r="J14" s="36"/>
      <c r="K14" s="36"/>
      <c r="L14" s="31"/>
      <c r="M14" s="36"/>
      <c r="N14" s="36"/>
      <c r="O14" s="31"/>
      <c r="P14" s="36"/>
      <c r="Q14" s="36"/>
      <c r="R14" s="36"/>
      <c r="S14" s="31"/>
      <c r="T14" s="36"/>
      <c r="U14" s="36"/>
      <c r="V14" s="36"/>
      <c r="W14" s="36"/>
      <c r="X14" s="36"/>
      <c r="Y14" s="36"/>
      <c r="Z14" s="36"/>
      <c r="AA14" s="36"/>
      <c r="AB14" s="36"/>
      <c r="AC14" s="31"/>
      <c r="AD14" s="36"/>
      <c r="AE14" s="36"/>
      <c r="AF14" s="36"/>
      <c r="AG14" s="31"/>
      <c r="AH14" s="36"/>
      <c r="AI14" s="31"/>
      <c r="AJ14" s="31"/>
      <c r="AK14" s="36"/>
      <c r="AL14" s="37">
        <f t="shared" si="0"/>
        <v>154</v>
      </c>
      <c r="AM14" s="30">
        <v>200</v>
      </c>
      <c r="AN14" s="30">
        <v>250</v>
      </c>
      <c r="AO14" s="30">
        <v>500</v>
      </c>
      <c r="AP14" s="16"/>
      <c r="AQ14" s="16"/>
    </row>
    <row r="15" spans="1:43" customFormat="1" ht="15" x14ac:dyDescent="0.25">
      <c r="A15" t="s">
        <v>31</v>
      </c>
      <c r="B15" s="20" t="s">
        <v>40</v>
      </c>
      <c r="C15" s="20" t="s">
        <v>41</v>
      </c>
      <c r="D15" s="6"/>
      <c r="E15" s="7"/>
      <c r="F15" s="14">
        <f>'Feb 2026'!AI15</f>
        <v>7</v>
      </c>
      <c r="G15" s="36"/>
      <c r="H15" s="36"/>
      <c r="I15" s="36"/>
      <c r="J15" s="36"/>
      <c r="K15" s="36"/>
      <c r="L15" s="31"/>
      <c r="M15" s="36"/>
      <c r="N15" s="36"/>
      <c r="O15" s="31"/>
      <c r="P15" s="36"/>
      <c r="Q15" s="36"/>
      <c r="R15" s="36"/>
      <c r="S15" s="31"/>
      <c r="T15" s="36"/>
      <c r="U15" s="36"/>
      <c r="V15" s="36"/>
      <c r="W15" s="36"/>
      <c r="X15" s="36"/>
      <c r="Y15" s="36"/>
      <c r="Z15" s="36"/>
      <c r="AA15" s="36"/>
      <c r="AB15" s="36"/>
      <c r="AC15" s="31"/>
      <c r="AD15" s="36"/>
      <c r="AE15" s="36"/>
      <c r="AF15" s="36"/>
      <c r="AG15" s="31"/>
      <c r="AH15" s="36"/>
      <c r="AI15" s="36"/>
      <c r="AJ15" s="31"/>
      <c r="AK15" s="36"/>
      <c r="AL15" s="37">
        <f t="shared" si="0"/>
        <v>7</v>
      </c>
      <c r="AM15" s="30">
        <v>5</v>
      </c>
      <c r="AN15" s="30">
        <v>5</v>
      </c>
      <c r="AO15" s="30">
        <v>10</v>
      </c>
      <c r="AP15" s="16"/>
      <c r="AQ15" s="16"/>
    </row>
    <row r="16" spans="1:43" customFormat="1" ht="15" x14ac:dyDescent="0.25">
      <c r="B16" s="20" t="s">
        <v>42</v>
      </c>
      <c r="C16" s="20" t="s">
        <v>43</v>
      </c>
      <c r="D16" s="6"/>
      <c r="E16" s="7"/>
      <c r="F16" s="14">
        <f>'Feb 2026'!AI16</f>
        <v>0</v>
      </c>
      <c r="G16" s="36"/>
      <c r="H16" s="36"/>
      <c r="I16" s="36"/>
      <c r="J16" s="36"/>
      <c r="K16" s="36"/>
      <c r="L16" s="31"/>
      <c r="M16" s="36"/>
      <c r="N16" s="36"/>
      <c r="O16" s="31"/>
      <c r="P16" s="36"/>
      <c r="Q16" s="36"/>
      <c r="R16" s="36"/>
      <c r="S16" s="31"/>
      <c r="T16" s="36"/>
      <c r="U16" s="36"/>
      <c r="V16" s="36"/>
      <c r="W16" s="36"/>
      <c r="X16" s="36"/>
      <c r="Y16" s="36"/>
      <c r="Z16" s="36"/>
      <c r="AA16" s="36"/>
      <c r="AB16" s="36"/>
      <c r="AC16" s="31"/>
      <c r="AD16" s="36"/>
      <c r="AE16" s="36"/>
      <c r="AF16" s="36"/>
      <c r="AG16" s="31"/>
      <c r="AH16" s="36"/>
      <c r="AI16" s="36"/>
      <c r="AJ16" s="31"/>
      <c r="AK16" s="36"/>
      <c r="AL16" s="37">
        <f t="shared" si="0"/>
        <v>0</v>
      </c>
      <c r="AM16" s="30"/>
      <c r="AN16" s="30"/>
      <c r="AO16" s="30"/>
      <c r="AP16" s="16" t="s">
        <v>107</v>
      </c>
      <c r="AQ16" s="16"/>
    </row>
    <row r="17" spans="1:43" customFormat="1" ht="15" x14ac:dyDescent="0.25">
      <c r="B17" s="20" t="s">
        <v>44</v>
      </c>
      <c r="C17" s="20" t="s">
        <v>45</v>
      </c>
      <c r="D17" s="6"/>
      <c r="E17" s="7"/>
      <c r="F17" s="14">
        <f>'Feb 2026'!AI17</f>
        <v>11</v>
      </c>
      <c r="G17" s="36"/>
      <c r="H17" s="36"/>
      <c r="I17" s="36"/>
      <c r="J17" s="36"/>
      <c r="K17" s="36"/>
      <c r="L17" s="31"/>
      <c r="M17" s="36"/>
      <c r="N17" s="36"/>
      <c r="O17" s="31"/>
      <c r="P17" s="36"/>
      <c r="Q17" s="36"/>
      <c r="R17" s="36"/>
      <c r="S17" s="31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1"/>
      <c r="AH17" s="36"/>
      <c r="AI17" s="36"/>
      <c r="AJ17" s="31"/>
      <c r="AK17" s="36"/>
      <c r="AL17" s="37">
        <f t="shared" si="0"/>
        <v>11</v>
      </c>
      <c r="AM17" s="30"/>
      <c r="AN17" s="30"/>
      <c r="AO17" s="30"/>
      <c r="AP17" s="16" t="s">
        <v>107</v>
      </c>
      <c r="AQ17" s="16"/>
    </row>
    <row r="18" spans="1:43" customFormat="1" ht="15" x14ac:dyDescent="0.25">
      <c r="B18" s="20" t="s">
        <v>46</v>
      </c>
      <c r="C18" s="20" t="s">
        <v>47</v>
      </c>
      <c r="D18" s="6"/>
      <c r="E18" s="7"/>
      <c r="F18" s="14">
        <f>'Feb 2026'!AI18</f>
        <v>3</v>
      </c>
      <c r="G18" s="36"/>
      <c r="H18" s="36"/>
      <c r="I18" s="31"/>
      <c r="J18" s="31"/>
      <c r="K18" s="31"/>
      <c r="L18" s="31"/>
      <c r="M18" s="36"/>
      <c r="N18" s="36"/>
      <c r="O18" s="31"/>
      <c r="P18" s="36"/>
      <c r="Q18" s="36"/>
      <c r="R18" s="36"/>
      <c r="S18" s="31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1"/>
      <c r="AK18" s="36"/>
      <c r="AL18" s="37">
        <f t="shared" si="0"/>
        <v>3</v>
      </c>
      <c r="AM18" s="30"/>
      <c r="AN18" s="30"/>
      <c r="AO18" s="30"/>
      <c r="AP18" s="16" t="s">
        <v>107</v>
      </c>
      <c r="AQ18" s="16"/>
    </row>
    <row r="19" spans="1:43" customFormat="1" ht="15" x14ac:dyDescent="0.25">
      <c r="A19" t="s">
        <v>31</v>
      </c>
      <c r="B19" s="20" t="s">
        <v>48</v>
      </c>
      <c r="C19" s="20" t="s">
        <v>49</v>
      </c>
      <c r="D19" s="6"/>
      <c r="E19" s="7"/>
      <c r="F19" s="14">
        <f>'Feb 2026'!AI19</f>
        <v>0</v>
      </c>
      <c r="G19" s="36"/>
      <c r="H19" s="36"/>
      <c r="I19" s="31"/>
      <c r="J19" s="31"/>
      <c r="K19" s="31"/>
      <c r="L19" s="31"/>
      <c r="M19" s="36"/>
      <c r="N19" s="36"/>
      <c r="O19" s="36"/>
      <c r="P19" s="36"/>
      <c r="Q19" s="36"/>
      <c r="R19" s="36"/>
      <c r="S19" s="31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1"/>
      <c r="AK19" s="36"/>
      <c r="AL19" s="37">
        <f t="shared" si="0"/>
        <v>0</v>
      </c>
      <c r="AM19" s="30">
        <v>10</v>
      </c>
      <c r="AN19" s="30">
        <v>20</v>
      </c>
      <c r="AO19" s="30">
        <v>50</v>
      </c>
      <c r="AP19" s="16"/>
      <c r="AQ19" s="16"/>
    </row>
    <row r="20" spans="1:43" customFormat="1" ht="15" x14ac:dyDescent="0.25">
      <c r="A20" t="s">
        <v>102</v>
      </c>
      <c r="B20" s="20" t="s">
        <v>50</v>
      </c>
      <c r="C20" s="20" t="s">
        <v>51</v>
      </c>
      <c r="D20" s="6"/>
      <c r="E20" s="7"/>
      <c r="F20" s="14">
        <f>'Feb 2026'!AI20</f>
        <v>106</v>
      </c>
      <c r="G20" s="36"/>
      <c r="H20" s="31">
        <v>-3</v>
      </c>
      <c r="I20" s="31"/>
      <c r="J20" s="31"/>
      <c r="K20" s="31">
        <f>-23+-14</f>
        <v>-37</v>
      </c>
      <c r="L20" s="31"/>
      <c r="M20" s="36"/>
      <c r="N20" s="31"/>
      <c r="O20" s="31"/>
      <c r="P20" s="31"/>
      <c r="Q20" s="31"/>
      <c r="R20" s="36"/>
      <c r="S20" s="31"/>
      <c r="T20" s="36"/>
      <c r="U20" s="36"/>
      <c r="V20" s="34">
        <v>300</v>
      </c>
      <c r="W20" s="36"/>
      <c r="X20" s="36"/>
      <c r="Y20" s="36"/>
      <c r="Z20" s="36"/>
      <c r="AA20" s="34"/>
      <c r="AB20" s="31"/>
      <c r="AC20" s="31"/>
      <c r="AD20" s="36"/>
      <c r="AE20" s="36"/>
      <c r="AF20" s="31">
        <v>-42</v>
      </c>
      <c r="AG20" s="36"/>
      <c r="AH20" s="36"/>
      <c r="AI20" s="36"/>
      <c r="AJ20" s="31">
        <v>-50</v>
      </c>
      <c r="AK20" s="36"/>
      <c r="AL20" s="37">
        <f t="shared" si="0"/>
        <v>274</v>
      </c>
      <c r="AM20" s="30">
        <v>50</v>
      </c>
      <c r="AN20" s="30">
        <v>75</v>
      </c>
      <c r="AO20" s="30">
        <v>200</v>
      </c>
      <c r="AP20" s="16"/>
      <c r="AQ20" s="16"/>
    </row>
    <row r="21" spans="1:43" customFormat="1" ht="15" x14ac:dyDescent="0.25">
      <c r="B21" s="20" t="s">
        <v>52</v>
      </c>
      <c r="C21" s="32" t="s">
        <v>53</v>
      </c>
      <c r="D21" s="6"/>
      <c r="E21" s="7"/>
      <c r="F21" s="14">
        <f>'Feb 2026'!AI21</f>
        <v>6</v>
      </c>
      <c r="G21" s="36"/>
      <c r="H21" s="36"/>
      <c r="I21" s="31"/>
      <c r="J21" s="31"/>
      <c r="K21" s="31"/>
      <c r="L21" s="31"/>
      <c r="M21" s="36"/>
      <c r="N21" s="36"/>
      <c r="O21" s="36"/>
      <c r="P21" s="31"/>
      <c r="Q21" s="31"/>
      <c r="R21" s="36"/>
      <c r="S21" s="31"/>
      <c r="T21" s="36"/>
      <c r="U21" s="36"/>
      <c r="V21" s="36"/>
      <c r="W21" s="36"/>
      <c r="X21" s="36"/>
      <c r="Y21" s="36"/>
      <c r="Z21" s="36"/>
      <c r="AA21" s="36"/>
      <c r="AB21" s="31"/>
      <c r="AC21" s="36"/>
      <c r="AD21" s="36"/>
      <c r="AE21" s="36"/>
      <c r="AF21" s="36"/>
      <c r="AG21" s="36"/>
      <c r="AH21" s="36"/>
      <c r="AI21" s="36"/>
      <c r="AJ21" s="31"/>
      <c r="AK21" s="36"/>
      <c r="AL21" s="37">
        <f t="shared" si="0"/>
        <v>6</v>
      </c>
      <c r="AM21" s="30"/>
      <c r="AN21" s="30"/>
      <c r="AO21" s="30"/>
      <c r="AP21" s="16" t="s">
        <v>107</v>
      </c>
      <c r="AQ21" s="16"/>
    </row>
    <row r="22" spans="1:43" customFormat="1" ht="15" x14ac:dyDescent="0.25">
      <c r="A22" t="s">
        <v>31</v>
      </c>
      <c r="B22" s="20" t="s">
        <v>54</v>
      </c>
      <c r="C22" s="32" t="s">
        <v>55</v>
      </c>
      <c r="D22" s="6"/>
      <c r="E22" s="7"/>
      <c r="F22" s="14">
        <f>'Feb 2026'!AI22</f>
        <v>150</v>
      </c>
      <c r="G22" s="36"/>
      <c r="H22" s="36"/>
      <c r="I22" s="31"/>
      <c r="J22" s="31"/>
      <c r="K22" s="31"/>
      <c r="L22" s="36"/>
      <c r="M22" s="36"/>
      <c r="N22" s="36"/>
      <c r="O22" s="36"/>
      <c r="P22" s="31"/>
      <c r="Q22" s="31"/>
      <c r="R22" s="36"/>
      <c r="S22" s="31"/>
      <c r="T22" s="36"/>
      <c r="U22" s="36"/>
      <c r="V22" s="36"/>
      <c r="W22" s="36"/>
      <c r="X22" s="36"/>
      <c r="Y22" s="36"/>
      <c r="Z22" s="36"/>
      <c r="AA22" s="36"/>
      <c r="AB22" s="31"/>
      <c r="AC22" s="36"/>
      <c r="AD22" s="36"/>
      <c r="AE22" s="36"/>
      <c r="AF22" s="36"/>
      <c r="AG22" s="36"/>
      <c r="AH22" s="36"/>
      <c r="AI22" s="36"/>
      <c r="AJ22" s="36"/>
      <c r="AK22" s="36"/>
      <c r="AL22" s="37">
        <f t="shared" si="0"/>
        <v>150</v>
      </c>
      <c r="AM22" s="30"/>
      <c r="AN22" s="30"/>
      <c r="AO22" s="30"/>
      <c r="AP22" s="16" t="s">
        <v>107</v>
      </c>
      <c r="AQ22" s="16"/>
    </row>
    <row r="23" spans="1:43" customFormat="1" ht="15" x14ac:dyDescent="0.25">
      <c r="A23" t="s">
        <v>103</v>
      </c>
      <c r="B23" s="20" t="s">
        <v>56</v>
      </c>
      <c r="C23" s="20" t="s">
        <v>57</v>
      </c>
      <c r="D23" s="6"/>
      <c r="E23" s="7"/>
      <c r="F23" s="14">
        <f>'Feb 2026'!AI23</f>
        <v>530</v>
      </c>
      <c r="G23" s="36"/>
      <c r="H23" s="31">
        <v>-3</v>
      </c>
      <c r="I23" s="31"/>
      <c r="J23" s="31"/>
      <c r="K23" s="31"/>
      <c r="L23" s="36"/>
      <c r="M23" s="36"/>
      <c r="N23" s="36"/>
      <c r="O23" s="36"/>
      <c r="P23" s="31"/>
      <c r="Q23" s="31"/>
      <c r="R23" s="36"/>
      <c r="S23" s="31"/>
      <c r="T23" s="36"/>
      <c r="U23" s="36"/>
      <c r="V23" s="36"/>
      <c r="W23" s="36"/>
      <c r="X23" s="36"/>
      <c r="Y23" s="36"/>
      <c r="Z23" s="31">
        <v>-100</v>
      </c>
      <c r="AA23" s="36"/>
      <c r="AB23" s="31"/>
      <c r="AC23" s="36"/>
      <c r="AD23" s="31">
        <f>-2+-50</f>
        <v>-52</v>
      </c>
      <c r="AE23" s="36"/>
      <c r="AF23" s="36"/>
      <c r="AG23" s="36"/>
      <c r="AH23" s="36"/>
      <c r="AI23" s="36"/>
      <c r="AJ23" s="31">
        <v>-50</v>
      </c>
      <c r="AK23" s="36"/>
      <c r="AL23" s="37">
        <f t="shared" si="0"/>
        <v>325</v>
      </c>
      <c r="AM23" s="30">
        <v>30</v>
      </c>
      <c r="AN23" s="30">
        <v>60</v>
      </c>
      <c r="AO23" s="30">
        <v>200</v>
      </c>
      <c r="AP23" s="16"/>
      <c r="AQ23" s="16"/>
    </row>
    <row r="24" spans="1:43" customFormat="1" ht="15" x14ac:dyDescent="0.25">
      <c r="A24" t="s">
        <v>104</v>
      </c>
      <c r="B24" s="20" t="s">
        <v>58</v>
      </c>
      <c r="C24" s="20" t="s">
        <v>59</v>
      </c>
      <c r="D24" s="6"/>
      <c r="E24" s="7"/>
      <c r="F24" s="14">
        <f>'Feb 2026'!AI24</f>
        <v>31</v>
      </c>
      <c r="G24" s="36"/>
      <c r="H24" s="36"/>
      <c r="I24" s="31"/>
      <c r="J24" s="31"/>
      <c r="K24" s="31"/>
      <c r="L24" s="36"/>
      <c r="M24" s="36"/>
      <c r="N24" s="36"/>
      <c r="O24" s="31"/>
      <c r="P24" s="31"/>
      <c r="Q24" s="31">
        <v>-1</v>
      </c>
      <c r="R24" s="36"/>
      <c r="S24" s="31"/>
      <c r="T24" s="36"/>
      <c r="U24" s="36"/>
      <c r="V24" s="36"/>
      <c r="W24" s="36"/>
      <c r="X24" s="36"/>
      <c r="Y24" s="36"/>
      <c r="Z24" s="36"/>
      <c r="AA24" s="36"/>
      <c r="AB24" s="31"/>
      <c r="AC24" s="36"/>
      <c r="AD24" s="36"/>
      <c r="AE24" s="36"/>
      <c r="AF24" s="31"/>
      <c r="AG24" s="31"/>
      <c r="AH24" s="31"/>
      <c r="AI24" s="36"/>
      <c r="AJ24" s="36"/>
      <c r="AK24" s="36"/>
      <c r="AL24" s="37">
        <f t="shared" si="0"/>
        <v>30</v>
      </c>
      <c r="AM24" s="30"/>
      <c r="AN24" s="30"/>
      <c r="AO24" s="30"/>
      <c r="AP24" s="16" t="s">
        <v>107</v>
      </c>
      <c r="AQ24" s="16"/>
    </row>
    <row r="25" spans="1:43" customFormat="1" ht="15" x14ac:dyDescent="0.25">
      <c r="A25" t="s">
        <v>104</v>
      </c>
      <c r="B25" s="20" t="s">
        <v>60</v>
      </c>
      <c r="C25" s="20" t="s">
        <v>61</v>
      </c>
      <c r="D25" s="6"/>
      <c r="E25" s="7"/>
      <c r="F25" s="14">
        <f>'Feb 2026'!AI25</f>
        <v>48</v>
      </c>
      <c r="G25" s="36"/>
      <c r="H25" s="36"/>
      <c r="I25" s="31">
        <f>-2+-1</f>
        <v>-3</v>
      </c>
      <c r="J25" s="31">
        <v>-8</v>
      </c>
      <c r="K25" s="31"/>
      <c r="L25" s="36"/>
      <c r="M25" s="36"/>
      <c r="N25" s="36"/>
      <c r="O25" s="31"/>
      <c r="P25" s="31"/>
      <c r="Q25" s="31"/>
      <c r="R25" s="36"/>
      <c r="S25" s="36"/>
      <c r="T25" s="36"/>
      <c r="U25" s="36"/>
      <c r="V25" s="31"/>
      <c r="W25" s="31">
        <f>-3+-3</f>
        <v>-6</v>
      </c>
      <c r="X25" s="36"/>
      <c r="Y25" s="36"/>
      <c r="Z25" s="36"/>
      <c r="AA25" s="31">
        <v>-1</v>
      </c>
      <c r="AB25" s="31"/>
      <c r="AC25" s="31"/>
      <c r="AD25" s="36"/>
      <c r="AE25" s="36"/>
      <c r="AF25" s="31">
        <v>-1</v>
      </c>
      <c r="AG25" s="31"/>
      <c r="AH25" s="31"/>
      <c r="AI25" s="36"/>
      <c r="AJ25" s="36"/>
      <c r="AK25" s="34"/>
      <c r="AL25" s="37">
        <f t="shared" si="0"/>
        <v>29</v>
      </c>
      <c r="AM25" s="30">
        <v>10</v>
      </c>
      <c r="AN25" s="30">
        <v>15</v>
      </c>
      <c r="AO25" s="30">
        <v>25</v>
      </c>
      <c r="AP25" s="16"/>
      <c r="AQ25" s="16"/>
    </row>
    <row r="26" spans="1:43" customFormat="1" ht="15" x14ac:dyDescent="0.25">
      <c r="A26" t="s">
        <v>104</v>
      </c>
      <c r="B26" s="20" t="s">
        <v>62</v>
      </c>
      <c r="C26" s="20" t="s">
        <v>63</v>
      </c>
      <c r="D26" s="6"/>
      <c r="E26" s="7"/>
      <c r="F26" s="14">
        <f>'Feb 2026'!AI26</f>
        <v>29</v>
      </c>
      <c r="G26" s="36"/>
      <c r="H26" s="36"/>
      <c r="I26" s="31"/>
      <c r="J26" s="31"/>
      <c r="K26" s="31"/>
      <c r="L26" s="36"/>
      <c r="M26" s="36"/>
      <c r="N26" s="36"/>
      <c r="O26" s="31"/>
      <c r="P26" s="31"/>
      <c r="Q26" s="31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1"/>
      <c r="AC26" s="36"/>
      <c r="AD26" s="36"/>
      <c r="AE26" s="36"/>
      <c r="AF26" s="31"/>
      <c r="AG26" s="31"/>
      <c r="AH26" s="31"/>
      <c r="AI26" s="36"/>
      <c r="AJ26" s="36"/>
      <c r="AK26" s="36"/>
      <c r="AL26" s="37">
        <f t="shared" si="0"/>
        <v>29</v>
      </c>
      <c r="AM26" s="30">
        <v>10</v>
      </c>
      <c r="AN26" s="30">
        <v>20</v>
      </c>
      <c r="AO26" s="30">
        <v>50</v>
      </c>
      <c r="AP26" s="16"/>
      <c r="AQ26" s="16"/>
    </row>
    <row r="27" spans="1:43" customFormat="1" ht="15" x14ac:dyDescent="0.25">
      <c r="A27" t="s">
        <v>104</v>
      </c>
      <c r="B27" s="20" t="s">
        <v>64</v>
      </c>
      <c r="C27" s="20" t="s">
        <v>65</v>
      </c>
      <c r="D27" s="6"/>
      <c r="E27" s="7"/>
      <c r="F27" s="14">
        <f>'Feb 2026'!AI27</f>
        <v>50</v>
      </c>
      <c r="G27" s="36"/>
      <c r="H27" s="36"/>
      <c r="I27" s="31"/>
      <c r="J27" s="31"/>
      <c r="K27" s="31"/>
      <c r="L27" s="36"/>
      <c r="M27" s="36"/>
      <c r="N27" s="36"/>
      <c r="O27" s="31"/>
      <c r="P27" s="31"/>
      <c r="Q27" s="31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1"/>
      <c r="AC27" s="36"/>
      <c r="AD27" s="36"/>
      <c r="AE27" s="36"/>
      <c r="AF27" s="31"/>
      <c r="AG27" s="31"/>
      <c r="AH27" s="31"/>
      <c r="AI27" s="36"/>
      <c r="AJ27" s="36"/>
      <c r="AK27" s="31">
        <v>-1</v>
      </c>
      <c r="AL27" s="37">
        <f t="shared" si="0"/>
        <v>49</v>
      </c>
      <c r="AM27" s="30"/>
      <c r="AN27" s="30"/>
      <c r="AO27" s="30"/>
      <c r="AP27" s="16" t="s">
        <v>107</v>
      </c>
      <c r="AQ27" s="16"/>
    </row>
    <row r="28" spans="1:43" customFormat="1" ht="15" x14ac:dyDescent="0.25">
      <c r="A28" t="s">
        <v>104</v>
      </c>
      <c r="B28" s="20" t="s">
        <v>66</v>
      </c>
      <c r="C28" s="20" t="s">
        <v>67</v>
      </c>
      <c r="D28" s="6"/>
      <c r="E28" s="7"/>
      <c r="F28" s="14">
        <f>'Feb 2026'!AI28</f>
        <v>43</v>
      </c>
      <c r="G28" s="36"/>
      <c r="H28" s="36"/>
      <c r="I28" s="31"/>
      <c r="J28" s="31">
        <v>-8</v>
      </c>
      <c r="K28" s="31"/>
      <c r="L28" s="36"/>
      <c r="M28" s="36"/>
      <c r="N28" s="36"/>
      <c r="O28" s="31"/>
      <c r="P28" s="31"/>
      <c r="Q28" s="31">
        <f>-1+-3</f>
        <v>-4</v>
      </c>
      <c r="R28" s="36"/>
      <c r="S28" s="36"/>
      <c r="T28" s="36"/>
      <c r="U28" s="36"/>
      <c r="V28" s="31"/>
      <c r="W28" s="31">
        <v>-3</v>
      </c>
      <c r="X28" s="36"/>
      <c r="Y28" s="36"/>
      <c r="Z28" s="34"/>
      <c r="AA28" s="31">
        <v>-1</v>
      </c>
      <c r="AB28" s="31"/>
      <c r="AC28" s="31"/>
      <c r="AD28" s="36"/>
      <c r="AE28" s="36"/>
      <c r="AF28" s="31">
        <v>-1</v>
      </c>
      <c r="AG28" s="31"/>
      <c r="AH28" s="31"/>
      <c r="AI28" s="36"/>
      <c r="AJ28" s="36"/>
      <c r="AK28" s="34"/>
      <c r="AL28" s="37">
        <f t="shared" si="0"/>
        <v>26</v>
      </c>
      <c r="AM28" s="30">
        <v>10</v>
      </c>
      <c r="AN28" s="30">
        <v>15</v>
      </c>
      <c r="AO28" s="30">
        <v>25</v>
      </c>
      <c r="AP28" s="16"/>
      <c r="AQ28" s="16"/>
    </row>
    <row r="29" spans="1:43" customFormat="1" ht="15" x14ac:dyDescent="0.25">
      <c r="B29" s="20" t="s">
        <v>68</v>
      </c>
      <c r="C29" s="20" t="s">
        <v>69</v>
      </c>
      <c r="D29" s="6"/>
      <c r="E29" s="7"/>
      <c r="F29" s="14">
        <f>'Feb 2026'!AI29</f>
        <v>15</v>
      </c>
      <c r="G29" s="36"/>
      <c r="H29" s="36"/>
      <c r="I29" s="31"/>
      <c r="J29" s="31"/>
      <c r="K29" s="31"/>
      <c r="L29" s="36"/>
      <c r="M29" s="36"/>
      <c r="N29" s="36"/>
      <c r="O29" s="31"/>
      <c r="P29" s="31"/>
      <c r="Q29" s="31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1"/>
      <c r="AC29" s="36"/>
      <c r="AD29" s="36"/>
      <c r="AE29" s="36"/>
      <c r="AF29" s="31"/>
      <c r="AG29" s="31"/>
      <c r="AH29" s="31"/>
      <c r="AI29" s="36"/>
      <c r="AJ29" s="36"/>
      <c r="AK29" s="36"/>
      <c r="AL29" s="37">
        <f t="shared" si="0"/>
        <v>15</v>
      </c>
      <c r="AM29" s="30"/>
      <c r="AN29" s="30"/>
      <c r="AO29" s="30"/>
      <c r="AP29" s="16" t="s">
        <v>107</v>
      </c>
      <c r="AQ29" s="16"/>
    </row>
    <row r="30" spans="1:43" customFormat="1" ht="15" x14ac:dyDescent="0.25">
      <c r="B30" s="20" t="s">
        <v>70</v>
      </c>
      <c r="C30" s="20" t="s">
        <v>71</v>
      </c>
      <c r="D30" s="6"/>
      <c r="E30" s="7"/>
      <c r="F30" s="14">
        <f>'Feb 2026'!AI30</f>
        <v>0</v>
      </c>
      <c r="G30" s="36"/>
      <c r="H30" s="36"/>
      <c r="I30" s="31"/>
      <c r="J30" s="31"/>
      <c r="K30" s="31"/>
      <c r="L30" s="36"/>
      <c r="M30" s="36"/>
      <c r="N30" s="36"/>
      <c r="O30" s="31"/>
      <c r="P30" s="31"/>
      <c r="Q30" s="31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1"/>
      <c r="AC30" s="36"/>
      <c r="AD30" s="36"/>
      <c r="AE30" s="36"/>
      <c r="AF30" s="31"/>
      <c r="AG30" s="31"/>
      <c r="AH30" s="31"/>
      <c r="AI30" s="36"/>
      <c r="AJ30" s="36"/>
      <c r="AK30" s="36"/>
      <c r="AL30" s="37">
        <f t="shared" si="0"/>
        <v>0</v>
      </c>
      <c r="AM30" s="30"/>
      <c r="AN30" s="30"/>
      <c r="AO30" s="30"/>
      <c r="AP30" s="16" t="s">
        <v>107</v>
      </c>
      <c r="AQ30" s="16"/>
    </row>
    <row r="31" spans="1:43" customFormat="1" ht="15" x14ac:dyDescent="0.25">
      <c r="A31" t="s">
        <v>104</v>
      </c>
      <c r="B31" s="20" t="s">
        <v>72</v>
      </c>
      <c r="C31" s="20" t="s">
        <v>73</v>
      </c>
      <c r="D31" s="6"/>
      <c r="E31" s="7"/>
      <c r="F31" s="14">
        <f>'Feb 2026'!AI31</f>
        <v>20</v>
      </c>
      <c r="G31" s="36"/>
      <c r="H31" s="36"/>
      <c r="I31" s="31"/>
      <c r="J31" s="31"/>
      <c r="K31" s="31"/>
      <c r="L31" s="36"/>
      <c r="M31" s="36"/>
      <c r="N31" s="36"/>
      <c r="O31" s="31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1"/>
      <c r="AC31" s="36"/>
      <c r="AD31" s="36"/>
      <c r="AE31" s="36"/>
      <c r="AF31" s="31"/>
      <c r="AG31" s="31"/>
      <c r="AH31" s="31"/>
      <c r="AI31" s="36"/>
      <c r="AJ31" s="36"/>
      <c r="AK31" s="36"/>
      <c r="AL31" s="37">
        <f t="shared" si="0"/>
        <v>20</v>
      </c>
      <c r="AM31" s="30"/>
      <c r="AN31" s="30"/>
      <c r="AO31" s="30"/>
      <c r="AP31" s="16" t="s">
        <v>107</v>
      </c>
      <c r="AQ31" s="16"/>
    </row>
    <row r="32" spans="1:43" customFormat="1" ht="15" x14ac:dyDescent="0.25">
      <c r="B32" s="33" t="s">
        <v>74</v>
      </c>
      <c r="C32" s="33" t="s">
        <v>75</v>
      </c>
      <c r="D32" s="6"/>
      <c r="E32" s="7"/>
      <c r="F32" s="14">
        <f>'Feb 2026'!AI32</f>
        <v>50</v>
      </c>
      <c r="G32" s="36"/>
      <c r="H32" s="36"/>
      <c r="I32" s="31"/>
      <c r="J32" s="31"/>
      <c r="K32" s="31"/>
      <c r="L32" s="36"/>
      <c r="M32" s="36"/>
      <c r="N32" s="36"/>
      <c r="O32" s="31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1"/>
      <c r="AC32" s="36"/>
      <c r="AD32" s="36"/>
      <c r="AE32" s="36"/>
      <c r="AF32" s="31"/>
      <c r="AG32" s="31"/>
      <c r="AH32" s="31"/>
      <c r="AI32" s="36"/>
      <c r="AJ32" s="36"/>
      <c r="AK32" s="36"/>
      <c r="AL32" s="37">
        <f t="shared" si="0"/>
        <v>50</v>
      </c>
      <c r="AM32" s="30">
        <v>5</v>
      </c>
      <c r="AN32" s="30">
        <v>10</v>
      </c>
      <c r="AO32" s="30">
        <v>20</v>
      </c>
      <c r="AP32" s="16"/>
      <c r="AQ32" s="16"/>
    </row>
    <row r="33" spans="1:43" customFormat="1" ht="15" x14ac:dyDescent="0.25">
      <c r="A33" t="s">
        <v>104</v>
      </c>
      <c r="B33" s="20" t="s">
        <v>76</v>
      </c>
      <c r="C33" s="20" t="s">
        <v>77</v>
      </c>
      <c r="D33" s="6"/>
      <c r="E33" s="7"/>
      <c r="F33" s="14">
        <f>'Feb 2026'!AI33</f>
        <v>94</v>
      </c>
      <c r="G33" s="36"/>
      <c r="H33" s="36"/>
      <c r="I33" s="31"/>
      <c r="J33" s="31"/>
      <c r="K33" s="31"/>
      <c r="L33" s="31">
        <v>-5</v>
      </c>
      <c r="M33" s="36"/>
      <c r="N33" s="36"/>
      <c r="O33" s="31"/>
      <c r="P33" s="36"/>
      <c r="Q33" s="36"/>
      <c r="R33" s="36"/>
      <c r="S33" s="31">
        <v>-1</v>
      </c>
      <c r="T33" s="36"/>
      <c r="U33" s="36"/>
      <c r="V33" s="36"/>
      <c r="W33" s="36"/>
      <c r="X33" s="36"/>
      <c r="Y33" s="36"/>
      <c r="Z33" s="36"/>
      <c r="AA33" s="36"/>
      <c r="AB33" s="31"/>
      <c r="AC33" s="36"/>
      <c r="AD33" s="31">
        <v>-2</v>
      </c>
      <c r="AE33" s="36"/>
      <c r="AF33" s="31"/>
      <c r="AG33" s="31"/>
      <c r="AH33" s="31"/>
      <c r="AI33" s="36"/>
      <c r="AJ33" s="36"/>
      <c r="AK33" s="36"/>
      <c r="AL33" s="37">
        <f t="shared" si="0"/>
        <v>86</v>
      </c>
      <c r="AM33" s="30">
        <v>10</v>
      </c>
      <c r="AN33" s="30">
        <v>20</v>
      </c>
      <c r="AO33" s="30">
        <v>50</v>
      </c>
      <c r="AP33" s="16"/>
      <c r="AQ33" s="16"/>
    </row>
    <row r="34" spans="1:43" customFormat="1" ht="15" x14ac:dyDescent="0.25">
      <c r="A34" t="s">
        <v>104</v>
      </c>
      <c r="B34" s="20" t="s">
        <v>78</v>
      </c>
      <c r="C34" s="20" t="s">
        <v>79</v>
      </c>
      <c r="D34" s="6"/>
      <c r="E34" s="7"/>
      <c r="F34" s="14">
        <f>'Feb 2026'!AI34</f>
        <v>0</v>
      </c>
      <c r="G34" s="36"/>
      <c r="H34" s="36"/>
      <c r="I34" s="31"/>
      <c r="J34" s="31"/>
      <c r="K34" s="34"/>
      <c r="L34" s="36"/>
      <c r="M34" s="36"/>
      <c r="N34" s="36"/>
      <c r="O34" s="31"/>
      <c r="P34" s="36"/>
      <c r="Q34" s="36"/>
      <c r="R34" s="36"/>
      <c r="S34" s="36"/>
      <c r="T34" s="13"/>
      <c r="U34" s="36"/>
      <c r="V34" s="31"/>
      <c r="W34" s="31"/>
      <c r="X34" s="36"/>
      <c r="Y34" s="36"/>
      <c r="Z34" s="36"/>
      <c r="AA34" s="31"/>
      <c r="AB34" s="31"/>
      <c r="AC34" s="36"/>
      <c r="AD34" s="36"/>
      <c r="AE34" s="36"/>
      <c r="AF34" s="36"/>
      <c r="AG34" s="34"/>
      <c r="AH34" s="31"/>
      <c r="AI34" s="31"/>
      <c r="AJ34" s="36"/>
      <c r="AK34" s="36"/>
      <c r="AL34" s="37">
        <f t="shared" si="0"/>
        <v>0</v>
      </c>
      <c r="AM34" s="30">
        <v>5</v>
      </c>
      <c r="AN34" s="30">
        <v>5</v>
      </c>
      <c r="AO34" s="30">
        <v>20</v>
      </c>
      <c r="AP34" s="16"/>
      <c r="AQ34" s="16"/>
    </row>
    <row r="35" spans="1:43" customFormat="1" ht="15" x14ac:dyDescent="0.25">
      <c r="A35" t="s">
        <v>104</v>
      </c>
      <c r="B35" s="20" t="s">
        <v>80</v>
      </c>
      <c r="C35" s="20" t="s">
        <v>81</v>
      </c>
      <c r="D35" s="6"/>
      <c r="E35" s="7"/>
      <c r="F35" s="14">
        <f>'Feb 2026'!AI35</f>
        <v>17</v>
      </c>
      <c r="G35" s="36"/>
      <c r="H35" s="36"/>
      <c r="I35" s="31"/>
      <c r="J35" s="31">
        <v>-8</v>
      </c>
      <c r="K35" s="31"/>
      <c r="L35" s="36"/>
      <c r="M35" s="36"/>
      <c r="N35" s="36"/>
      <c r="O35" s="31"/>
      <c r="P35" s="31">
        <v>-2</v>
      </c>
      <c r="Q35" s="31">
        <f>-1+-3</f>
        <v>-4</v>
      </c>
      <c r="R35" s="36"/>
      <c r="S35" s="36"/>
      <c r="T35" s="36"/>
      <c r="U35" s="36"/>
      <c r="V35" s="36"/>
      <c r="W35" s="31">
        <v>-3</v>
      </c>
      <c r="X35" s="36"/>
      <c r="Y35" s="36"/>
      <c r="Z35" s="36"/>
      <c r="AA35" s="36"/>
      <c r="AB35" s="31"/>
      <c r="AC35" s="36"/>
      <c r="AD35" s="36"/>
      <c r="AE35" s="36"/>
      <c r="AF35" s="36"/>
      <c r="AG35" s="36"/>
      <c r="AH35" s="36"/>
      <c r="AI35" s="36"/>
      <c r="AJ35" s="36"/>
      <c r="AK35" s="36"/>
      <c r="AL35" s="37">
        <f t="shared" si="0"/>
        <v>0</v>
      </c>
      <c r="AM35" s="30">
        <v>5</v>
      </c>
      <c r="AN35" s="30">
        <v>5</v>
      </c>
      <c r="AO35" s="30">
        <v>20</v>
      </c>
      <c r="AP35" s="16"/>
      <c r="AQ35" s="16"/>
    </row>
    <row r="36" spans="1:43" customFormat="1" ht="15" x14ac:dyDescent="0.25">
      <c r="A36" t="s">
        <v>104</v>
      </c>
      <c r="B36" s="20" t="s">
        <v>82</v>
      </c>
      <c r="C36" s="20" t="s">
        <v>83</v>
      </c>
      <c r="D36" s="6"/>
      <c r="E36" s="7"/>
      <c r="F36" s="14">
        <f>'Feb 2026'!AI36</f>
        <v>0</v>
      </c>
      <c r="G36" s="36"/>
      <c r="H36" s="36"/>
      <c r="I36" s="31"/>
      <c r="J36" s="31"/>
      <c r="K36" s="31"/>
      <c r="L36" s="36"/>
      <c r="M36" s="36"/>
      <c r="N36" s="36"/>
      <c r="O36" s="31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1"/>
      <c r="AC36" s="36"/>
      <c r="AD36" s="31"/>
      <c r="AE36" s="36"/>
      <c r="AF36" s="36"/>
      <c r="AG36" s="36"/>
      <c r="AH36" s="36"/>
      <c r="AI36" s="36"/>
      <c r="AJ36" s="36"/>
      <c r="AK36" s="36"/>
      <c r="AL36" s="37">
        <f t="shared" si="0"/>
        <v>0</v>
      </c>
      <c r="AM36" s="30">
        <v>1</v>
      </c>
      <c r="AN36" s="30">
        <v>1</v>
      </c>
      <c r="AO36" s="30">
        <v>5</v>
      </c>
      <c r="AP36" s="16"/>
      <c r="AQ36" s="16"/>
    </row>
    <row r="37" spans="1:43" customFormat="1" ht="15" x14ac:dyDescent="0.25">
      <c r="A37" t="s">
        <v>103</v>
      </c>
      <c r="B37" s="20" t="s">
        <v>84</v>
      </c>
      <c r="C37" s="20" t="s">
        <v>85</v>
      </c>
      <c r="D37" s="6"/>
      <c r="E37" s="7"/>
      <c r="F37" s="14">
        <f>'Feb 2026'!AI37</f>
        <v>130</v>
      </c>
      <c r="G37" s="36"/>
      <c r="H37" s="31">
        <v>-3</v>
      </c>
      <c r="I37" s="31">
        <v>-43</v>
      </c>
      <c r="J37" s="31"/>
      <c r="K37" s="31">
        <f>-36+-20+-14+-14</f>
        <v>-84</v>
      </c>
      <c r="L37" s="31"/>
      <c r="M37" s="36"/>
      <c r="N37" s="31"/>
      <c r="O37" s="31"/>
      <c r="P37" s="36"/>
      <c r="Q37" s="36"/>
      <c r="R37" s="31"/>
      <c r="S37" s="36"/>
      <c r="T37" s="36"/>
      <c r="U37" s="34">
        <f>32+15</f>
        <v>47</v>
      </c>
      <c r="V37" s="34">
        <v>200</v>
      </c>
      <c r="W37" s="31">
        <f>-8+-19+-29</f>
        <v>-56</v>
      </c>
      <c r="X37" s="36"/>
      <c r="Y37" s="36"/>
      <c r="Z37" s="31">
        <v>-19</v>
      </c>
      <c r="AA37" s="31">
        <v>-6</v>
      </c>
      <c r="AB37" s="31"/>
      <c r="AC37" s="31"/>
      <c r="AD37" s="31">
        <f>-20+-50</f>
        <v>-70</v>
      </c>
      <c r="AE37" s="31">
        <v>-23</v>
      </c>
      <c r="AF37" s="31">
        <v>-42</v>
      </c>
      <c r="AG37" s="36"/>
      <c r="AH37" s="31"/>
      <c r="AI37" s="36"/>
      <c r="AJ37" s="31">
        <f>-2+-2</f>
        <v>-4</v>
      </c>
      <c r="AK37" s="31">
        <v>-4</v>
      </c>
      <c r="AL37" s="37">
        <f t="shared" si="0"/>
        <v>23</v>
      </c>
      <c r="AM37" s="30">
        <v>100</v>
      </c>
      <c r="AN37" s="30">
        <v>150</v>
      </c>
      <c r="AO37" s="30">
        <v>500</v>
      </c>
      <c r="AP37" s="16"/>
      <c r="AQ37" s="16"/>
    </row>
    <row r="38" spans="1:43" customFormat="1" ht="15" x14ac:dyDescent="0.25">
      <c r="B38" s="20" t="s">
        <v>86</v>
      </c>
      <c r="C38" s="20" t="s">
        <v>87</v>
      </c>
      <c r="D38" s="6"/>
      <c r="E38" s="7"/>
      <c r="F38" s="14">
        <f>'Feb 2026'!AI38</f>
        <v>0</v>
      </c>
      <c r="G38" s="36"/>
      <c r="H38" s="36"/>
      <c r="I38" s="36"/>
      <c r="J38" s="36"/>
      <c r="K38" s="36"/>
      <c r="L38" s="36"/>
      <c r="M38" s="36"/>
      <c r="N38" s="36"/>
      <c r="O38" s="31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1"/>
      <c r="AF38" s="36"/>
      <c r="AG38" s="36"/>
      <c r="AH38" s="36"/>
      <c r="AI38" s="36"/>
      <c r="AJ38" s="36"/>
      <c r="AK38" s="36"/>
      <c r="AL38" s="37">
        <f t="shared" si="0"/>
        <v>0</v>
      </c>
      <c r="AM38" s="30"/>
      <c r="AN38" s="30"/>
      <c r="AO38" s="30"/>
      <c r="AP38" s="16" t="s">
        <v>107</v>
      </c>
      <c r="AQ38" s="16"/>
    </row>
    <row r="39" spans="1:43" customFormat="1" ht="15" x14ac:dyDescent="0.25">
      <c r="A39" t="s">
        <v>103</v>
      </c>
      <c r="B39" s="20" t="s">
        <v>88</v>
      </c>
      <c r="C39" s="20" t="s">
        <v>89</v>
      </c>
      <c r="D39" s="6"/>
      <c r="E39" s="7"/>
      <c r="F39" s="14">
        <f>'Feb 2026'!AI39</f>
        <v>0</v>
      </c>
      <c r="G39" s="36"/>
      <c r="H39" s="36"/>
      <c r="I39" s="36"/>
      <c r="J39" s="36"/>
      <c r="K39" s="34">
        <v>250</v>
      </c>
      <c r="L39" s="31">
        <v>-150</v>
      </c>
      <c r="M39" s="36"/>
      <c r="N39" s="36"/>
      <c r="O39" s="31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4"/>
      <c r="AJ39" s="36"/>
      <c r="AK39" s="36"/>
      <c r="AL39" s="37">
        <f t="shared" si="0"/>
        <v>100</v>
      </c>
      <c r="AM39" s="30">
        <v>25</v>
      </c>
      <c r="AN39" s="30">
        <v>50</v>
      </c>
      <c r="AO39" s="30">
        <v>100</v>
      </c>
      <c r="AP39" s="16"/>
      <c r="AQ39" s="16"/>
    </row>
    <row r="40" spans="1:43" customFormat="1" ht="15" x14ac:dyDescent="0.25">
      <c r="B40" s="20" t="s">
        <v>90</v>
      </c>
      <c r="C40" s="20" t="s">
        <v>91</v>
      </c>
      <c r="D40" s="6"/>
      <c r="E40" s="7"/>
      <c r="F40" s="14">
        <f>'Feb 2026'!AI40</f>
        <v>14</v>
      </c>
      <c r="G40" s="36"/>
      <c r="H40" s="36"/>
      <c r="I40" s="36"/>
      <c r="J40" s="36"/>
      <c r="K40" s="36"/>
      <c r="L40" s="36"/>
      <c r="M40" s="36"/>
      <c r="N40" s="36"/>
      <c r="O40" s="31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7">
        <f t="shared" si="0"/>
        <v>14</v>
      </c>
      <c r="AM40" s="30"/>
      <c r="AN40" s="30"/>
      <c r="AO40" s="30"/>
      <c r="AP40" s="16" t="s">
        <v>107</v>
      </c>
      <c r="AQ40" s="16"/>
    </row>
    <row r="41" spans="1:43" customFormat="1" ht="15" x14ac:dyDescent="0.25">
      <c r="A41" t="s">
        <v>104</v>
      </c>
      <c r="B41" s="20" t="s">
        <v>92</v>
      </c>
      <c r="C41" s="20" t="s">
        <v>93</v>
      </c>
      <c r="D41" s="12"/>
      <c r="E41" s="3"/>
      <c r="F41" s="14">
        <f>'Feb 2026'!AI41</f>
        <v>53</v>
      </c>
      <c r="G41" s="31"/>
      <c r="H41" s="31"/>
      <c r="I41" s="31">
        <v>-2</v>
      </c>
      <c r="J41" s="31">
        <v>-7</v>
      </c>
      <c r="K41" s="31">
        <v>-1</v>
      </c>
      <c r="L41" s="31"/>
      <c r="M41" s="31"/>
      <c r="N41" s="31"/>
      <c r="O41" s="31"/>
      <c r="P41" s="31">
        <f>-1+-3</f>
        <v>-4</v>
      </c>
      <c r="Q41" s="31">
        <f>-1+-2</f>
        <v>-3</v>
      </c>
      <c r="R41" s="31">
        <v>-1</v>
      </c>
      <c r="S41" s="31"/>
      <c r="T41" s="31"/>
      <c r="U41" s="31"/>
      <c r="V41" s="31">
        <f>-5+-5</f>
        <v>-10</v>
      </c>
      <c r="W41" s="31">
        <v>-3</v>
      </c>
      <c r="X41" s="31"/>
      <c r="Y41" s="31"/>
      <c r="Z41" s="31"/>
      <c r="AA41" s="31">
        <v>-1</v>
      </c>
      <c r="AB41" s="34"/>
      <c r="AC41" s="31"/>
      <c r="AD41" s="31"/>
      <c r="AE41" s="31"/>
      <c r="AF41" s="31">
        <v>-1</v>
      </c>
      <c r="AG41" s="31"/>
      <c r="AH41" s="31"/>
      <c r="AI41" s="31"/>
      <c r="AJ41" s="31">
        <v>-2</v>
      </c>
      <c r="AK41" s="31"/>
      <c r="AL41" s="37">
        <f t="shared" si="0"/>
        <v>18</v>
      </c>
      <c r="AM41" s="30">
        <v>15</v>
      </c>
      <c r="AN41" s="30">
        <v>20</v>
      </c>
      <c r="AO41" s="30">
        <v>50</v>
      </c>
    </row>
    <row r="42" spans="1:43" customFormat="1" ht="15" x14ac:dyDescent="0.25">
      <c r="A42" t="s">
        <v>104</v>
      </c>
      <c r="B42" s="20" t="s">
        <v>94</v>
      </c>
      <c r="C42" s="20" t="s">
        <v>95</v>
      </c>
      <c r="D42" s="12"/>
      <c r="E42" s="3"/>
      <c r="F42" s="14">
        <f>'Feb 2026'!AI42</f>
        <v>0</v>
      </c>
      <c r="G42" s="31"/>
      <c r="H42" s="31"/>
      <c r="I42" s="31"/>
      <c r="J42" s="31"/>
      <c r="K42" s="31"/>
      <c r="L42" s="31"/>
      <c r="M42" s="31"/>
      <c r="N42" s="13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7">
        <f t="shared" si="0"/>
        <v>0</v>
      </c>
      <c r="AM42" s="30">
        <v>15</v>
      </c>
      <c r="AN42" s="30">
        <v>20</v>
      </c>
      <c r="AO42" s="30">
        <v>50</v>
      </c>
    </row>
    <row r="43" spans="1:43" customFormat="1" ht="15" x14ac:dyDescent="0.25">
      <c r="A43" t="s">
        <v>104</v>
      </c>
      <c r="B43" s="20" t="s">
        <v>96</v>
      </c>
      <c r="C43" s="20" t="s">
        <v>97</v>
      </c>
      <c r="D43" s="12"/>
      <c r="E43" s="3"/>
      <c r="F43" s="14">
        <f>'Feb 2026'!AI43</f>
        <v>49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>
        <v>-2</v>
      </c>
      <c r="AE43" s="31"/>
      <c r="AF43" s="31"/>
      <c r="AG43" s="31"/>
      <c r="AH43" s="31"/>
      <c r="AI43" s="31"/>
      <c r="AJ43" s="31"/>
      <c r="AK43" s="31"/>
      <c r="AL43" s="37">
        <f t="shared" si="0"/>
        <v>47</v>
      </c>
      <c r="AM43" s="30">
        <v>5</v>
      </c>
      <c r="AN43" s="30">
        <v>10</v>
      </c>
      <c r="AO43" s="30">
        <v>10</v>
      </c>
    </row>
    <row r="44" spans="1:43" customFormat="1" ht="15" x14ac:dyDescent="0.25">
      <c r="A44" t="s">
        <v>103</v>
      </c>
      <c r="B44" s="20" t="s">
        <v>98</v>
      </c>
      <c r="C44" s="20" t="s">
        <v>99</v>
      </c>
      <c r="D44" s="12"/>
      <c r="E44" s="3"/>
      <c r="F44" s="14">
        <f>'Feb 2026'!AI44</f>
        <v>322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7">
        <f t="shared" si="0"/>
        <v>322</v>
      </c>
      <c r="AM44" s="30">
        <v>20</v>
      </c>
      <c r="AN44" s="30">
        <v>50</v>
      </c>
      <c r="AO44" s="30">
        <v>100</v>
      </c>
    </row>
    <row r="45" spans="1:43" customFormat="1" ht="15" x14ac:dyDescent="0.25">
      <c r="A45" t="s">
        <v>103</v>
      </c>
      <c r="B45" s="20" t="s">
        <v>100</v>
      </c>
      <c r="C45" s="20" t="s">
        <v>101</v>
      </c>
      <c r="D45" s="12"/>
      <c r="E45" s="3"/>
      <c r="F45" s="14">
        <f>'Feb 2026'!AI45</f>
        <v>7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>
        <v>-1</v>
      </c>
      <c r="AL45" s="37">
        <f t="shared" si="0"/>
        <v>6</v>
      </c>
      <c r="AP45" t="s">
        <v>107</v>
      </c>
    </row>
    <row r="46" spans="1:43" customFormat="1" ht="15" x14ac:dyDescent="0.25">
      <c r="A46" s="29"/>
      <c r="B46" s="20"/>
      <c r="C46" s="20"/>
      <c r="D46" s="12"/>
      <c r="E46" s="3"/>
      <c r="F46" s="4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7">
        <f t="shared" si="0"/>
        <v>0</v>
      </c>
    </row>
    <row r="47" spans="1:43" customFormat="1" ht="15" x14ac:dyDescent="0.25">
      <c r="A47" s="29"/>
      <c r="B47" s="20"/>
      <c r="C47" s="20"/>
      <c r="D47" s="12"/>
      <c r="E47" s="3"/>
      <c r="F47" s="4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7">
        <f t="shared" si="0"/>
        <v>0</v>
      </c>
    </row>
    <row r="48" spans="1:43" customFormat="1" ht="14.25" customHeight="1" x14ac:dyDescent="0.25">
      <c r="A48" s="29"/>
      <c r="B48" s="20"/>
      <c r="C48" s="20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37">
        <f t="shared" si="0"/>
        <v>0</v>
      </c>
    </row>
    <row r="49" spans="1:38" customFormat="1" ht="15" x14ac:dyDescent="0.25">
      <c r="A49" s="29"/>
      <c r="B49" s="20"/>
      <c r="C49" s="20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37">
        <f t="shared" si="0"/>
        <v>0</v>
      </c>
    </row>
    <row r="50" spans="1:38" customFormat="1" ht="15" x14ac:dyDescent="0.25">
      <c r="A50" s="29"/>
      <c r="B50" s="20"/>
      <c r="C50" s="20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12"/>
      <c r="AL50" s="37">
        <f t="shared" si="0"/>
        <v>0</v>
      </c>
    </row>
    <row r="51" spans="1:38" customFormat="1" ht="15" x14ac:dyDescent="0.25">
      <c r="A51" s="29"/>
      <c r="B51" s="20"/>
      <c r="C51" s="20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12"/>
      <c r="AL51" s="37">
        <f t="shared" si="0"/>
        <v>0</v>
      </c>
    </row>
    <row r="52" spans="1:38" customFormat="1" ht="15" x14ac:dyDescent="0.25">
      <c r="A52" s="29"/>
      <c r="B52" s="20"/>
      <c r="C52" s="20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37">
        <f t="shared" ref="AL52:AL53" si="1">F52+SUM(G52:AK52)</f>
        <v>0</v>
      </c>
    </row>
    <row r="53" spans="1:38" customFormat="1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5">
        <f t="shared" si="1"/>
        <v>0</v>
      </c>
    </row>
    <row r="54" spans="1:38" ht="12.75" customHeight="1" x14ac:dyDescent="0.2">
      <c r="A54" s="3"/>
      <c r="B54" s="28"/>
      <c r="C54" s="28"/>
      <c r="D54" s="2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8" x14ac:dyDescent="0.2">
      <c r="A55" s="3"/>
      <c r="B55" s="28"/>
      <c r="C55" s="28"/>
      <c r="D55" s="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8" ht="79.5" customHeight="1" thickBot="1" x14ac:dyDescent="0.25">
      <c r="B56" s="8" t="s">
        <v>21</v>
      </c>
      <c r="C56" s="19"/>
      <c r="D56" s="19"/>
      <c r="E56" s="10" t="s">
        <v>22</v>
      </c>
      <c r="F56" s="22" t="s">
        <v>23</v>
      </c>
      <c r="G56" s="26" t="s">
        <v>24</v>
      </c>
      <c r="H56" s="27"/>
    </row>
    <row r="57" spans="1:38" ht="16.5" thickBot="1" x14ac:dyDescent="0.25">
      <c r="B57" s="8" t="s">
        <v>25</v>
      </c>
      <c r="C57" s="19"/>
      <c r="D57" s="19"/>
      <c r="E57" s="9"/>
      <c r="F57" s="21"/>
      <c r="G57" s="38"/>
      <c r="H57" s="39"/>
    </row>
    <row r="58" spans="1:38" ht="16.5" thickBot="1" x14ac:dyDescent="0.25">
      <c r="B58" s="8" t="s">
        <v>26</v>
      </c>
      <c r="C58" s="19"/>
      <c r="D58" s="19"/>
      <c r="E58" s="10"/>
      <c r="F58" s="22"/>
      <c r="G58" s="40"/>
      <c r="H58" s="41"/>
    </row>
    <row r="59" spans="1:38" ht="16.5" thickBot="1" x14ac:dyDescent="0.25">
      <c r="B59" s="8" t="s">
        <v>27</v>
      </c>
      <c r="C59" s="19"/>
      <c r="D59" s="19"/>
      <c r="E59" s="11"/>
      <c r="F59" s="23"/>
      <c r="G59" s="42"/>
      <c r="H59" s="43"/>
    </row>
    <row r="60" spans="1:38" ht="15.75" x14ac:dyDescent="0.2">
      <c r="B60" s="44" t="s">
        <v>28</v>
      </c>
      <c r="C60" s="17"/>
      <c r="D60" s="17"/>
      <c r="E60" s="47"/>
      <c r="F60" s="50"/>
      <c r="G60" s="53"/>
      <c r="H60" s="54"/>
    </row>
    <row r="61" spans="1:38" ht="15.75" x14ac:dyDescent="0.2">
      <c r="B61" s="45"/>
      <c r="C61" s="18"/>
      <c r="D61" s="18"/>
      <c r="E61" s="48"/>
      <c r="F61" s="51"/>
      <c r="G61" s="53"/>
      <c r="H61" s="54"/>
    </row>
    <row r="62" spans="1:38" ht="16.5" thickBot="1" x14ac:dyDescent="0.25">
      <c r="B62" s="46"/>
      <c r="C62" s="8"/>
      <c r="D62" s="8"/>
      <c r="E62" s="49"/>
      <c r="F62" s="52"/>
      <c r="G62" s="55"/>
      <c r="H62" s="56"/>
    </row>
  </sheetData>
  <mergeCells count="24">
    <mergeCell ref="G57:H57"/>
    <mergeCell ref="G58:H58"/>
    <mergeCell ref="G59:H59"/>
    <mergeCell ref="B60:B62"/>
    <mergeCell ref="E60:E62"/>
    <mergeCell ref="F60:F62"/>
    <mergeCell ref="G60:H6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11:AL53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649F-2B92-4917-BD13-C296124DAC87}">
  <dimension ref="A1:AO70"/>
  <sheetViews>
    <sheetView tabSelected="1" workbookViewId="0">
      <pane xSplit="5" ySplit="10" topLeftCell="F33" activePane="bottomRight" state="frozen"/>
      <selection pane="topRight" activeCell="F1" sqref="F1"/>
      <selection pane="bottomLeft" activeCell="A11" sqref="A11"/>
      <selection pane="bottomRight" activeCell="R37" sqref="R37"/>
    </sheetView>
  </sheetViews>
  <sheetFormatPr defaultRowHeight="15" x14ac:dyDescent="0.25"/>
  <cols>
    <col min="2" max="2" width="13.28515625" bestFit="1" customWidth="1"/>
    <col min="3" max="3" width="51.28515625" bestFit="1" customWidth="1"/>
  </cols>
  <sheetData>
    <row r="1" spans="1:41" ht="22.5" x14ac:dyDescent="0.25">
      <c r="E1" s="62" t="s">
        <v>29</v>
      </c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2" spans="1:41" x14ac:dyDescent="0.25">
      <c r="E2" s="63" t="s">
        <v>30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</row>
    <row r="3" spans="1:41" ht="15.75" x14ac:dyDescent="0.25">
      <c r="E3" s="66" t="s">
        <v>0</v>
      </c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</row>
    <row r="4" spans="1:41" x14ac:dyDescent="0.25">
      <c r="E4" s="67" t="s">
        <v>1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</row>
    <row r="5" spans="1:41" ht="15.75" x14ac:dyDescent="0.25">
      <c r="E5" s="57" t="s">
        <v>2</v>
      </c>
      <c r="F5" s="57"/>
      <c r="G5" s="57"/>
      <c r="H5" s="68" t="s">
        <v>3</v>
      </c>
      <c r="I5" s="69"/>
      <c r="J5" s="70"/>
      <c r="K5" s="59" t="s">
        <v>4</v>
      </c>
      <c r="L5" s="59"/>
      <c r="M5" s="12">
        <v>0</v>
      </c>
      <c r="N5" s="71" t="s">
        <v>5</v>
      </c>
      <c r="O5" s="71"/>
      <c r="P5" s="72"/>
      <c r="Q5" s="73"/>
    </row>
    <row r="6" spans="1:41" ht="15.75" x14ac:dyDescent="0.25">
      <c r="E6" s="57" t="s">
        <v>6</v>
      </c>
      <c r="F6" s="57"/>
      <c r="G6" s="57"/>
      <c r="H6" s="58" t="s">
        <v>7</v>
      </c>
      <c r="I6" s="58"/>
      <c r="J6" s="58"/>
      <c r="K6" s="59" t="s">
        <v>8</v>
      </c>
      <c r="L6" s="59"/>
      <c r="M6" s="60" t="s">
        <v>9</v>
      </c>
      <c r="N6" s="60"/>
      <c r="O6" s="60"/>
      <c r="P6" s="60"/>
      <c r="Q6" s="60"/>
    </row>
    <row r="7" spans="1:41" ht="15.75" x14ac:dyDescent="0.25">
      <c r="E7" s="59" t="s">
        <v>10</v>
      </c>
      <c r="F7" s="59"/>
      <c r="G7" s="59"/>
      <c r="H7" s="61"/>
      <c r="I7" s="61"/>
      <c r="J7" s="61"/>
      <c r="K7" s="59" t="s">
        <v>11</v>
      </c>
      <c r="L7" s="59"/>
      <c r="M7" s="60"/>
      <c r="N7" s="60"/>
      <c r="O7" s="60"/>
      <c r="P7" s="60"/>
      <c r="Q7" s="60"/>
    </row>
    <row r="9" spans="1:41" x14ac:dyDescent="0.25">
      <c r="A9" t="s">
        <v>12</v>
      </c>
    </row>
    <row r="10" spans="1:41" ht="26.25" x14ac:dyDescent="0.25">
      <c r="A10" s="24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105</v>
      </c>
      <c r="G10" s="35">
        <v>46113</v>
      </c>
      <c r="H10" s="35">
        <v>46114</v>
      </c>
      <c r="I10" s="35">
        <v>46115</v>
      </c>
      <c r="J10" s="35">
        <v>46116</v>
      </c>
      <c r="K10" s="35">
        <v>46117</v>
      </c>
      <c r="L10" s="35">
        <v>46118</v>
      </c>
      <c r="M10" s="35">
        <v>46119</v>
      </c>
      <c r="N10" s="35">
        <v>46120</v>
      </c>
      <c r="O10" s="35">
        <v>46121</v>
      </c>
      <c r="P10" s="35">
        <v>46122</v>
      </c>
      <c r="Q10" s="35">
        <v>46123</v>
      </c>
      <c r="R10" s="35">
        <v>46124</v>
      </c>
      <c r="S10" s="35">
        <v>46125</v>
      </c>
      <c r="T10" s="35">
        <v>46126</v>
      </c>
      <c r="U10" s="35">
        <v>46127</v>
      </c>
      <c r="V10" s="35">
        <v>46128</v>
      </c>
      <c r="W10" s="35">
        <v>46129</v>
      </c>
      <c r="X10" s="35">
        <v>46130</v>
      </c>
      <c r="Y10" s="35">
        <v>46131</v>
      </c>
      <c r="Z10" s="35">
        <v>46132</v>
      </c>
      <c r="AA10" s="35">
        <v>46133</v>
      </c>
      <c r="AB10" s="35">
        <v>46134</v>
      </c>
      <c r="AC10" s="35">
        <v>46135</v>
      </c>
      <c r="AD10" s="35">
        <v>46136</v>
      </c>
      <c r="AE10" s="35">
        <v>46137</v>
      </c>
      <c r="AF10" s="35">
        <v>46138</v>
      </c>
      <c r="AG10" s="35">
        <v>46139</v>
      </c>
      <c r="AH10" s="35">
        <v>46140</v>
      </c>
      <c r="AI10" s="35">
        <v>46141</v>
      </c>
      <c r="AJ10" s="35">
        <v>46142</v>
      </c>
      <c r="AK10" s="14" t="s">
        <v>106</v>
      </c>
      <c r="AL10" s="5" t="s">
        <v>18</v>
      </c>
      <c r="AM10" s="5" t="s">
        <v>19</v>
      </c>
      <c r="AN10" s="5" t="s">
        <v>20</v>
      </c>
      <c r="AO10" s="15"/>
    </row>
    <row r="11" spans="1:41" x14ac:dyDescent="0.25">
      <c r="A11" t="s">
        <v>102</v>
      </c>
      <c r="B11" s="20" t="s">
        <v>32</v>
      </c>
      <c r="C11" s="20" t="s">
        <v>33</v>
      </c>
      <c r="D11" s="6"/>
      <c r="E11" s="7"/>
      <c r="F11" s="14">
        <f>'March 2026'!AL11</f>
        <v>0</v>
      </c>
      <c r="G11" s="36"/>
      <c r="H11" s="36"/>
      <c r="I11" s="31"/>
      <c r="J11" s="36"/>
      <c r="K11" s="36"/>
      <c r="L11" s="31"/>
      <c r="M11" s="36"/>
      <c r="N11" s="36"/>
      <c r="O11" s="31"/>
      <c r="P11" s="36"/>
      <c r="Q11" s="31"/>
      <c r="R11" s="36"/>
      <c r="S11" s="31"/>
      <c r="T11" s="31">
        <v>-27</v>
      </c>
      <c r="U11" s="31">
        <v>-79</v>
      </c>
      <c r="V11" s="31"/>
      <c r="W11" s="36"/>
      <c r="X11" s="36"/>
      <c r="Y11" s="36"/>
      <c r="Z11" s="36"/>
      <c r="AA11" s="31"/>
      <c r="AB11" s="36"/>
      <c r="AC11" s="31"/>
      <c r="AD11" s="36"/>
      <c r="AE11" s="36"/>
      <c r="AF11" s="36"/>
      <c r="AG11" s="31"/>
      <c r="AH11" s="31"/>
      <c r="AI11" s="31"/>
      <c r="AJ11" s="31"/>
      <c r="AK11" s="37">
        <f t="shared" ref="AK11:AK51" si="0">SUM(G11:AJ11)+F11</f>
        <v>-106</v>
      </c>
      <c r="AL11" s="30">
        <v>200</v>
      </c>
      <c r="AM11" s="30">
        <v>250</v>
      </c>
      <c r="AN11" s="30">
        <v>1500</v>
      </c>
      <c r="AO11" s="16"/>
    </row>
    <row r="12" spans="1:41" x14ac:dyDescent="0.25">
      <c r="A12" t="s">
        <v>102</v>
      </c>
      <c r="B12" s="20" t="s">
        <v>34</v>
      </c>
      <c r="C12" s="20" t="s">
        <v>35</v>
      </c>
      <c r="D12" s="6"/>
      <c r="E12" s="7"/>
      <c r="F12" s="14">
        <f>'March 2026'!AL12</f>
        <v>396</v>
      </c>
      <c r="G12" s="36"/>
      <c r="H12" s="36"/>
      <c r="I12" s="36"/>
      <c r="J12" s="36"/>
      <c r="K12" s="36"/>
      <c r="L12" s="31"/>
      <c r="M12" s="36"/>
      <c r="N12" s="36"/>
      <c r="O12" s="31"/>
      <c r="P12" s="36"/>
      <c r="Q12" s="36"/>
      <c r="R12" s="36"/>
      <c r="S12" s="31"/>
      <c r="T12" s="36"/>
      <c r="U12" s="36"/>
      <c r="V12" s="36"/>
      <c r="W12" s="36"/>
      <c r="X12" s="36"/>
      <c r="Y12" s="36"/>
      <c r="Z12" s="36"/>
      <c r="AA12" s="31"/>
      <c r="AB12" s="36"/>
      <c r="AC12" s="31"/>
      <c r="AD12" s="36"/>
      <c r="AE12" s="36"/>
      <c r="AF12" s="36"/>
      <c r="AG12" s="31"/>
      <c r="AH12" s="36"/>
      <c r="AI12" s="31"/>
      <c r="AJ12" s="31"/>
      <c r="AK12" s="37">
        <f t="shared" si="0"/>
        <v>396</v>
      </c>
      <c r="AL12" s="30">
        <v>200</v>
      </c>
      <c r="AM12" s="30">
        <v>250</v>
      </c>
      <c r="AN12" s="30">
        <v>1500</v>
      </c>
      <c r="AO12" s="16"/>
    </row>
    <row r="13" spans="1:41" x14ac:dyDescent="0.25">
      <c r="A13" t="s">
        <v>102</v>
      </c>
      <c r="B13" s="20" t="s">
        <v>36</v>
      </c>
      <c r="C13" s="20" t="s">
        <v>37</v>
      </c>
      <c r="D13" s="6"/>
      <c r="E13" s="7"/>
      <c r="F13" s="14">
        <f>'March 2026'!AL13</f>
        <v>13</v>
      </c>
      <c r="G13" s="36"/>
      <c r="H13" s="36"/>
      <c r="I13" s="36"/>
      <c r="J13" s="36"/>
      <c r="K13" s="36"/>
      <c r="L13" s="31"/>
      <c r="M13" s="36"/>
      <c r="N13" s="36"/>
      <c r="O13" s="31"/>
      <c r="P13" s="36"/>
      <c r="Q13" s="36"/>
      <c r="R13" s="31"/>
      <c r="S13" s="31"/>
      <c r="T13" s="36"/>
      <c r="U13" s="36"/>
      <c r="V13" s="36"/>
      <c r="W13" s="36"/>
      <c r="X13" s="36"/>
      <c r="Y13" s="36"/>
      <c r="Z13" s="36"/>
      <c r="AA13" s="36"/>
      <c r="AB13" s="36"/>
      <c r="AC13" s="31"/>
      <c r="AD13" s="36"/>
      <c r="AE13" s="36"/>
      <c r="AF13" s="36"/>
      <c r="AG13" s="31"/>
      <c r="AH13" s="36"/>
      <c r="AI13" s="31"/>
      <c r="AJ13" s="31"/>
      <c r="AK13" s="37">
        <f t="shared" si="0"/>
        <v>13</v>
      </c>
      <c r="AL13" s="30">
        <v>200</v>
      </c>
      <c r="AM13" s="30">
        <v>250</v>
      </c>
      <c r="AN13" s="30">
        <v>500</v>
      </c>
      <c r="AO13" s="16"/>
    </row>
    <row r="14" spans="1:41" x14ac:dyDescent="0.25">
      <c r="A14" t="s">
        <v>102</v>
      </c>
      <c r="B14" s="20" t="s">
        <v>38</v>
      </c>
      <c r="C14" s="20" t="s">
        <v>39</v>
      </c>
      <c r="D14" s="6"/>
      <c r="E14" s="7"/>
      <c r="F14" s="14">
        <f>'March 2026'!AL14</f>
        <v>154</v>
      </c>
      <c r="G14" s="36"/>
      <c r="H14" s="36"/>
      <c r="I14" s="36"/>
      <c r="J14" s="36"/>
      <c r="K14" s="36"/>
      <c r="L14" s="31"/>
      <c r="M14" s="36"/>
      <c r="N14" s="36"/>
      <c r="O14" s="31"/>
      <c r="P14" s="36"/>
      <c r="Q14" s="36"/>
      <c r="R14" s="36"/>
      <c r="S14" s="31"/>
      <c r="T14" s="36"/>
      <c r="U14" s="36"/>
      <c r="V14" s="36"/>
      <c r="W14" s="36"/>
      <c r="X14" s="36"/>
      <c r="Y14" s="36"/>
      <c r="Z14" s="36"/>
      <c r="AA14" s="36"/>
      <c r="AB14" s="36"/>
      <c r="AC14" s="31"/>
      <c r="AD14" s="36"/>
      <c r="AE14" s="36"/>
      <c r="AF14" s="36"/>
      <c r="AG14" s="31"/>
      <c r="AH14" s="36"/>
      <c r="AI14" s="31"/>
      <c r="AJ14" s="31"/>
      <c r="AK14" s="37">
        <f t="shared" si="0"/>
        <v>154</v>
      </c>
      <c r="AL14" s="30">
        <v>200</v>
      </c>
      <c r="AM14" s="30">
        <v>250</v>
      </c>
      <c r="AN14" s="30">
        <v>500</v>
      </c>
      <c r="AO14" s="16"/>
    </row>
    <row r="15" spans="1:41" x14ac:dyDescent="0.25">
      <c r="A15" t="s">
        <v>31</v>
      </c>
      <c r="B15" s="20" t="s">
        <v>40</v>
      </c>
      <c r="C15" s="20" t="s">
        <v>41</v>
      </c>
      <c r="D15" s="6"/>
      <c r="E15" s="7"/>
      <c r="F15" s="14">
        <f>'March 2026'!AL15</f>
        <v>7</v>
      </c>
      <c r="G15" s="36"/>
      <c r="H15" s="36"/>
      <c r="I15" s="36"/>
      <c r="J15" s="36"/>
      <c r="K15" s="36"/>
      <c r="L15" s="31"/>
      <c r="M15" s="36"/>
      <c r="N15" s="36"/>
      <c r="O15" s="31"/>
      <c r="P15" s="36"/>
      <c r="Q15" s="36"/>
      <c r="R15" s="36"/>
      <c r="S15" s="31"/>
      <c r="T15" s="36"/>
      <c r="U15" s="36"/>
      <c r="V15" s="36"/>
      <c r="W15" s="36"/>
      <c r="X15" s="36"/>
      <c r="Y15" s="36"/>
      <c r="Z15" s="36"/>
      <c r="AA15" s="36"/>
      <c r="AB15" s="36"/>
      <c r="AC15" s="31"/>
      <c r="AD15" s="36"/>
      <c r="AE15" s="36"/>
      <c r="AF15" s="36"/>
      <c r="AG15" s="31"/>
      <c r="AH15" s="36"/>
      <c r="AI15" s="36"/>
      <c r="AJ15" s="31"/>
      <c r="AK15" s="37">
        <f t="shared" si="0"/>
        <v>7</v>
      </c>
      <c r="AL15" s="30">
        <v>5</v>
      </c>
      <c r="AM15" s="30">
        <v>5</v>
      </c>
      <c r="AN15" s="30">
        <v>10</v>
      </c>
      <c r="AO15" s="16"/>
    </row>
    <row r="16" spans="1:41" x14ac:dyDescent="0.25">
      <c r="B16" s="20" t="s">
        <v>42</v>
      </c>
      <c r="C16" s="20" t="s">
        <v>43</v>
      </c>
      <c r="D16" s="6"/>
      <c r="E16" s="7"/>
      <c r="F16" s="14">
        <f>'March 2026'!AL16</f>
        <v>0</v>
      </c>
      <c r="G16" s="36"/>
      <c r="H16" s="36"/>
      <c r="I16" s="36"/>
      <c r="J16" s="36"/>
      <c r="K16" s="36"/>
      <c r="L16" s="31"/>
      <c r="M16" s="36"/>
      <c r="N16" s="36"/>
      <c r="O16" s="31"/>
      <c r="P16" s="36"/>
      <c r="Q16" s="36"/>
      <c r="R16" s="36"/>
      <c r="S16" s="31"/>
      <c r="T16" s="36"/>
      <c r="U16" s="36"/>
      <c r="V16" s="36"/>
      <c r="W16" s="36"/>
      <c r="X16" s="36"/>
      <c r="Y16" s="36"/>
      <c r="Z16" s="36"/>
      <c r="AA16" s="36"/>
      <c r="AB16" s="36"/>
      <c r="AC16" s="31"/>
      <c r="AD16" s="36"/>
      <c r="AE16" s="36"/>
      <c r="AF16" s="36"/>
      <c r="AG16" s="31"/>
      <c r="AH16" s="36"/>
      <c r="AI16" s="36"/>
      <c r="AJ16" s="31"/>
      <c r="AK16" s="37">
        <f t="shared" si="0"/>
        <v>0</v>
      </c>
      <c r="AL16" s="30"/>
      <c r="AM16" s="30"/>
      <c r="AN16" s="30"/>
      <c r="AO16" s="16" t="s">
        <v>107</v>
      </c>
    </row>
    <row r="17" spans="1:41" x14ac:dyDescent="0.25">
      <c r="B17" s="20" t="s">
        <v>44</v>
      </c>
      <c r="C17" s="20" t="s">
        <v>45</v>
      </c>
      <c r="D17" s="6"/>
      <c r="E17" s="7"/>
      <c r="F17" s="14">
        <f>'March 2026'!AL17</f>
        <v>11</v>
      </c>
      <c r="G17" s="36"/>
      <c r="H17" s="36"/>
      <c r="I17" s="36"/>
      <c r="J17" s="36"/>
      <c r="K17" s="36"/>
      <c r="L17" s="31"/>
      <c r="M17" s="36"/>
      <c r="N17" s="36"/>
      <c r="O17" s="31"/>
      <c r="P17" s="36"/>
      <c r="Q17" s="36"/>
      <c r="R17" s="36"/>
      <c r="S17" s="31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1"/>
      <c r="AH17" s="36"/>
      <c r="AI17" s="36"/>
      <c r="AJ17" s="31"/>
      <c r="AK17" s="37">
        <f t="shared" si="0"/>
        <v>11</v>
      </c>
      <c r="AL17" s="30"/>
      <c r="AM17" s="30"/>
      <c r="AN17" s="30"/>
      <c r="AO17" s="16" t="s">
        <v>107</v>
      </c>
    </row>
    <row r="18" spans="1:41" x14ac:dyDescent="0.25">
      <c r="B18" s="20" t="s">
        <v>46</v>
      </c>
      <c r="C18" s="20" t="s">
        <v>47</v>
      </c>
      <c r="D18" s="6"/>
      <c r="E18" s="7"/>
      <c r="F18" s="14">
        <f>'March 2026'!AL18</f>
        <v>3</v>
      </c>
      <c r="G18" s="36"/>
      <c r="H18" s="36"/>
      <c r="I18" s="31"/>
      <c r="J18" s="31"/>
      <c r="K18" s="31"/>
      <c r="L18" s="31"/>
      <c r="M18" s="36"/>
      <c r="N18" s="36"/>
      <c r="O18" s="31"/>
      <c r="P18" s="36"/>
      <c r="Q18" s="36"/>
      <c r="R18" s="36"/>
      <c r="S18" s="31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1"/>
      <c r="AK18" s="37">
        <f t="shared" si="0"/>
        <v>3</v>
      </c>
      <c r="AL18" s="30"/>
      <c r="AM18" s="30"/>
      <c r="AN18" s="30"/>
      <c r="AO18" s="16" t="s">
        <v>107</v>
      </c>
    </row>
    <row r="19" spans="1:41" x14ac:dyDescent="0.25">
      <c r="A19" t="s">
        <v>31</v>
      </c>
      <c r="B19" s="20" t="s">
        <v>48</v>
      </c>
      <c r="C19" s="20" t="s">
        <v>49</v>
      </c>
      <c r="D19" s="6"/>
      <c r="E19" s="7"/>
      <c r="F19" s="14">
        <f>'March 2026'!AL19</f>
        <v>0</v>
      </c>
      <c r="G19" s="36"/>
      <c r="H19" s="36"/>
      <c r="I19" s="31"/>
      <c r="J19" s="31"/>
      <c r="K19" s="31"/>
      <c r="L19" s="31"/>
      <c r="M19" s="36"/>
      <c r="N19" s="36"/>
      <c r="O19" s="36"/>
      <c r="P19" s="36"/>
      <c r="Q19" s="36"/>
      <c r="R19" s="36"/>
      <c r="S19" s="31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1"/>
      <c r="AK19" s="37">
        <f t="shared" si="0"/>
        <v>0</v>
      </c>
      <c r="AL19" s="30">
        <v>10</v>
      </c>
      <c r="AM19" s="30">
        <v>20</v>
      </c>
      <c r="AN19" s="30">
        <v>50</v>
      </c>
      <c r="AO19" s="16"/>
    </row>
    <row r="20" spans="1:41" x14ac:dyDescent="0.25">
      <c r="A20" t="s">
        <v>102</v>
      </c>
      <c r="B20" s="20" t="s">
        <v>50</v>
      </c>
      <c r="C20" s="20" t="s">
        <v>51</v>
      </c>
      <c r="D20" s="6"/>
      <c r="E20" s="7"/>
      <c r="F20" s="14">
        <f>'March 2026'!AL20</f>
        <v>274</v>
      </c>
      <c r="G20" s="36"/>
      <c r="H20" s="31"/>
      <c r="I20" s="31">
        <v>-25</v>
      </c>
      <c r="J20" s="31"/>
      <c r="K20" s="31"/>
      <c r="L20" s="31"/>
      <c r="M20" s="36"/>
      <c r="N20" s="31"/>
      <c r="O20" s="31"/>
      <c r="P20" s="31"/>
      <c r="Q20" s="31"/>
      <c r="R20" s="36"/>
      <c r="S20" s="31"/>
      <c r="T20" s="36"/>
      <c r="U20" s="31">
        <v>-30</v>
      </c>
      <c r="V20" s="34"/>
      <c r="W20" s="36"/>
      <c r="X20" s="36"/>
      <c r="Y20" s="36"/>
      <c r="Z20" s="36"/>
      <c r="AA20" s="34"/>
      <c r="AB20" s="31"/>
      <c r="AC20" s="31"/>
      <c r="AD20" s="36"/>
      <c r="AE20" s="36"/>
      <c r="AF20" s="31"/>
      <c r="AG20" s="36"/>
      <c r="AH20" s="36"/>
      <c r="AI20" s="36"/>
      <c r="AJ20" s="31"/>
      <c r="AK20" s="37">
        <f t="shared" si="0"/>
        <v>219</v>
      </c>
      <c r="AL20" s="30">
        <v>50</v>
      </c>
      <c r="AM20" s="30">
        <v>75</v>
      </c>
      <c r="AN20" s="30">
        <v>200</v>
      </c>
      <c r="AO20" s="16"/>
    </row>
    <row r="21" spans="1:41" x14ac:dyDescent="0.25">
      <c r="B21" s="20" t="s">
        <v>52</v>
      </c>
      <c r="C21" s="32" t="s">
        <v>53</v>
      </c>
      <c r="D21" s="6"/>
      <c r="E21" s="7"/>
      <c r="F21" s="14">
        <f>'March 2026'!AL21</f>
        <v>6</v>
      </c>
      <c r="G21" s="36"/>
      <c r="H21" s="36"/>
      <c r="I21" s="31"/>
      <c r="J21" s="31"/>
      <c r="K21" s="31"/>
      <c r="L21" s="31"/>
      <c r="M21" s="36"/>
      <c r="N21" s="36"/>
      <c r="O21" s="36"/>
      <c r="P21" s="31"/>
      <c r="Q21" s="31"/>
      <c r="R21" s="36"/>
      <c r="S21" s="31"/>
      <c r="T21" s="36"/>
      <c r="U21" s="36"/>
      <c r="V21" s="36"/>
      <c r="W21" s="36"/>
      <c r="X21" s="36"/>
      <c r="Y21" s="36"/>
      <c r="Z21" s="36"/>
      <c r="AA21" s="36"/>
      <c r="AB21" s="31"/>
      <c r="AC21" s="36"/>
      <c r="AD21" s="36"/>
      <c r="AE21" s="36"/>
      <c r="AF21" s="36"/>
      <c r="AG21" s="36"/>
      <c r="AH21" s="36"/>
      <c r="AI21" s="36"/>
      <c r="AJ21" s="31"/>
      <c r="AK21" s="37">
        <f t="shared" si="0"/>
        <v>6</v>
      </c>
      <c r="AL21" s="30"/>
      <c r="AM21" s="30"/>
      <c r="AN21" s="30"/>
      <c r="AO21" s="16" t="s">
        <v>107</v>
      </c>
    </row>
    <row r="22" spans="1:41" x14ac:dyDescent="0.25">
      <c r="A22" t="s">
        <v>31</v>
      </c>
      <c r="B22" s="20" t="s">
        <v>54</v>
      </c>
      <c r="C22" s="32" t="s">
        <v>55</v>
      </c>
      <c r="D22" s="6"/>
      <c r="E22" s="7"/>
      <c r="F22" s="14">
        <f>'March 2026'!AL22</f>
        <v>150</v>
      </c>
      <c r="G22" s="36"/>
      <c r="H22" s="36"/>
      <c r="I22" s="31"/>
      <c r="J22" s="31"/>
      <c r="K22" s="31"/>
      <c r="L22" s="36"/>
      <c r="M22" s="36"/>
      <c r="N22" s="36"/>
      <c r="O22" s="36"/>
      <c r="P22" s="31"/>
      <c r="Q22" s="31"/>
      <c r="R22" s="36"/>
      <c r="S22" s="31"/>
      <c r="T22" s="36"/>
      <c r="U22" s="36"/>
      <c r="V22" s="36"/>
      <c r="W22" s="36"/>
      <c r="X22" s="36"/>
      <c r="Y22" s="36"/>
      <c r="Z22" s="36"/>
      <c r="AA22" s="36"/>
      <c r="AB22" s="31"/>
      <c r="AC22" s="36"/>
      <c r="AD22" s="36"/>
      <c r="AE22" s="36"/>
      <c r="AF22" s="36"/>
      <c r="AG22" s="36"/>
      <c r="AH22" s="36"/>
      <c r="AI22" s="36"/>
      <c r="AJ22" s="36"/>
      <c r="AK22" s="37">
        <f t="shared" si="0"/>
        <v>150</v>
      </c>
      <c r="AL22" s="30"/>
      <c r="AM22" s="30"/>
      <c r="AN22" s="30"/>
      <c r="AO22" s="16" t="s">
        <v>107</v>
      </c>
    </row>
    <row r="23" spans="1:41" x14ac:dyDescent="0.25">
      <c r="A23" t="s">
        <v>103</v>
      </c>
      <c r="B23" s="20" t="s">
        <v>56</v>
      </c>
      <c r="C23" s="20" t="s">
        <v>57</v>
      </c>
      <c r="D23" s="6"/>
      <c r="E23" s="7"/>
      <c r="F23" s="14">
        <f>'March 2026'!AL23</f>
        <v>325</v>
      </c>
      <c r="G23" s="36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6"/>
      <c r="S23" s="31"/>
      <c r="T23" s="36"/>
      <c r="U23" s="36"/>
      <c r="V23" s="36"/>
      <c r="W23" s="36"/>
      <c r="X23" s="36"/>
      <c r="Y23" s="36"/>
      <c r="Z23" s="36"/>
      <c r="AA23" s="36"/>
      <c r="AB23" s="31"/>
      <c r="AC23" s="36"/>
      <c r="AD23" s="31"/>
      <c r="AE23" s="36"/>
      <c r="AF23" s="36"/>
      <c r="AG23" s="36"/>
      <c r="AH23" s="36"/>
      <c r="AI23" s="36"/>
      <c r="AJ23" s="31"/>
      <c r="AK23" s="37">
        <f t="shared" si="0"/>
        <v>325</v>
      </c>
      <c r="AL23" s="30">
        <v>30</v>
      </c>
      <c r="AM23" s="30">
        <v>60</v>
      </c>
      <c r="AN23" s="30">
        <v>200</v>
      </c>
      <c r="AO23" s="16"/>
    </row>
    <row r="24" spans="1:41" x14ac:dyDescent="0.25">
      <c r="A24" t="s">
        <v>104</v>
      </c>
      <c r="B24" s="20" t="s">
        <v>58</v>
      </c>
      <c r="C24" s="20" t="s">
        <v>59</v>
      </c>
      <c r="D24" s="6"/>
      <c r="E24" s="7"/>
      <c r="F24" s="14">
        <f>'March 2026'!AL24</f>
        <v>30</v>
      </c>
      <c r="G24" s="36"/>
      <c r="H24" s="36"/>
      <c r="I24" s="31"/>
      <c r="J24" s="31"/>
      <c r="K24" s="31"/>
      <c r="L24" s="31"/>
      <c r="M24" s="31"/>
      <c r="N24" s="31"/>
      <c r="O24" s="31"/>
      <c r="P24" s="31"/>
      <c r="Q24" s="31"/>
      <c r="R24" s="36"/>
      <c r="S24" s="31"/>
      <c r="T24" s="36"/>
      <c r="U24" s="36"/>
      <c r="V24" s="36"/>
      <c r="W24" s="36"/>
      <c r="X24" s="36"/>
      <c r="Y24" s="36"/>
      <c r="Z24" s="36"/>
      <c r="AA24" s="36"/>
      <c r="AB24" s="31"/>
      <c r="AC24" s="36"/>
      <c r="AD24" s="36"/>
      <c r="AE24" s="36"/>
      <c r="AF24" s="31"/>
      <c r="AG24" s="31"/>
      <c r="AH24" s="31"/>
      <c r="AI24" s="36"/>
      <c r="AJ24" s="36"/>
      <c r="AK24" s="37">
        <f t="shared" si="0"/>
        <v>30</v>
      </c>
      <c r="AL24" s="30"/>
      <c r="AM24" s="30"/>
      <c r="AN24" s="30"/>
      <c r="AO24" s="16" t="s">
        <v>107</v>
      </c>
    </row>
    <row r="25" spans="1:41" x14ac:dyDescent="0.25">
      <c r="A25" t="s">
        <v>104</v>
      </c>
      <c r="B25" s="20" t="s">
        <v>60</v>
      </c>
      <c r="C25" s="20" t="s">
        <v>61</v>
      </c>
      <c r="D25" s="6"/>
      <c r="E25" s="7"/>
      <c r="F25" s="14">
        <f>'March 2026'!AL25</f>
        <v>29</v>
      </c>
      <c r="G25" s="36"/>
      <c r="H25" s="36"/>
      <c r="I25" s="31"/>
      <c r="J25" s="31"/>
      <c r="K25" s="31"/>
      <c r="L25" s="31"/>
      <c r="M25" s="31">
        <v>-2</v>
      </c>
      <c r="N25" s="31"/>
      <c r="O25" s="31"/>
      <c r="P25" s="31"/>
      <c r="Q25" s="31"/>
      <c r="R25" s="36"/>
      <c r="S25" s="31">
        <v>-12</v>
      </c>
      <c r="T25" s="36"/>
      <c r="U25" s="36"/>
      <c r="V25" s="31"/>
      <c r="W25" s="31"/>
      <c r="X25" s="36"/>
      <c r="Y25" s="36"/>
      <c r="Z25" s="36"/>
      <c r="AA25" s="31"/>
      <c r="AB25" s="31"/>
      <c r="AC25" s="31"/>
      <c r="AD25" s="36"/>
      <c r="AE25" s="36"/>
      <c r="AF25" s="31"/>
      <c r="AG25" s="31"/>
      <c r="AH25" s="31"/>
      <c r="AI25" s="36"/>
      <c r="AJ25" s="36"/>
      <c r="AK25" s="37">
        <f t="shared" si="0"/>
        <v>15</v>
      </c>
      <c r="AL25" s="30">
        <v>10</v>
      </c>
      <c r="AM25" s="30">
        <v>15</v>
      </c>
      <c r="AN25" s="30">
        <v>25</v>
      </c>
      <c r="AO25" s="16"/>
    </row>
    <row r="26" spans="1:41" x14ac:dyDescent="0.25">
      <c r="A26" t="s">
        <v>104</v>
      </c>
      <c r="B26" s="20" t="s">
        <v>62</v>
      </c>
      <c r="C26" s="20" t="s">
        <v>63</v>
      </c>
      <c r="D26" s="6"/>
      <c r="E26" s="7"/>
      <c r="F26" s="14">
        <f>'March 2026'!AL26</f>
        <v>29</v>
      </c>
      <c r="G26" s="36"/>
      <c r="H26" s="36"/>
      <c r="I26" s="31"/>
      <c r="J26" s="31"/>
      <c r="K26" s="31"/>
      <c r="L26" s="31">
        <v>-9</v>
      </c>
      <c r="M26" s="31"/>
      <c r="N26" s="31"/>
      <c r="O26" s="31"/>
      <c r="P26" s="31"/>
      <c r="Q26" s="31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1"/>
      <c r="AC26" s="36"/>
      <c r="AD26" s="36"/>
      <c r="AE26" s="36"/>
      <c r="AF26" s="31"/>
      <c r="AG26" s="31"/>
      <c r="AH26" s="31"/>
      <c r="AI26" s="36"/>
      <c r="AJ26" s="36"/>
      <c r="AK26" s="37">
        <f t="shared" si="0"/>
        <v>20</v>
      </c>
      <c r="AL26" s="30">
        <v>10</v>
      </c>
      <c r="AM26" s="30">
        <v>20</v>
      </c>
      <c r="AN26" s="30">
        <v>50</v>
      </c>
      <c r="AO26" s="16"/>
    </row>
    <row r="27" spans="1:41" x14ac:dyDescent="0.25">
      <c r="A27" t="s">
        <v>104</v>
      </c>
      <c r="B27" s="20" t="s">
        <v>64</v>
      </c>
      <c r="C27" s="20" t="s">
        <v>65</v>
      </c>
      <c r="D27" s="6"/>
      <c r="E27" s="7"/>
      <c r="F27" s="14">
        <f>'March 2026'!AL27</f>
        <v>49</v>
      </c>
      <c r="G27" s="36"/>
      <c r="H27" s="36"/>
      <c r="I27" s="31"/>
      <c r="J27" s="31"/>
      <c r="K27" s="31"/>
      <c r="L27" s="31"/>
      <c r="M27" s="31"/>
      <c r="N27" s="31"/>
      <c r="O27" s="31"/>
      <c r="P27" s="31"/>
      <c r="Q27" s="31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1"/>
      <c r="AC27" s="36"/>
      <c r="AD27" s="36"/>
      <c r="AE27" s="36"/>
      <c r="AF27" s="31"/>
      <c r="AG27" s="31"/>
      <c r="AH27" s="31"/>
      <c r="AI27" s="36"/>
      <c r="AJ27" s="36"/>
      <c r="AK27" s="37">
        <f t="shared" si="0"/>
        <v>49</v>
      </c>
      <c r="AL27" s="30"/>
      <c r="AM27" s="30"/>
      <c r="AN27" s="30"/>
      <c r="AO27" s="16" t="s">
        <v>107</v>
      </c>
    </row>
    <row r="28" spans="1:41" x14ac:dyDescent="0.25">
      <c r="A28" t="s">
        <v>104</v>
      </c>
      <c r="B28" s="20" t="s">
        <v>66</v>
      </c>
      <c r="C28" s="20" t="s">
        <v>67</v>
      </c>
      <c r="D28" s="6"/>
      <c r="E28" s="7"/>
      <c r="F28" s="14">
        <f>'March 2026'!AL28</f>
        <v>26</v>
      </c>
      <c r="G28" s="36"/>
      <c r="H28" s="36"/>
      <c r="I28" s="31"/>
      <c r="J28" s="31"/>
      <c r="K28" s="31"/>
      <c r="L28" s="31"/>
      <c r="M28" s="31">
        <v>-2</v>
      </c>
      <c r="N28" s="31"/>
      <c r="O28" s="31"/>
      <c r="P28" s="31">
        <v>-1</v>
      </c>
      <c r="Q28" s="31"/>
      <c r="R28" s="36"/>
      <c r="S28" s="31">
        <v>-12</v>
      </c>
      <c r="T28" s="36"/>
      <c r="U28" s="36"/>
      <c r="V28" s="31"/>
      <c r="W28" s="31"/>
      <c r="X28" s="36"/>
      <c r="Y28" s="36"/>
      <c r="Z28" s="34"/>
      <c r="AA28" s="31"/>
      <c r="AB28" s="31"/>
      <c r="AC28" s="31"/>
      <c r="AD28" s="36"/>
      <c r="AE28" s="36"/>
      <c r="AF28" s="31"/>
      <c r="AG28" s="31"/>
      <c r="AH28" s="31"/>
      <c r="AI28" s="36"/>
      <c r="AJ28" s="36"/>
      <c r="AK28" s="37">
        <f t="shared" si="0"/>
        <v>11</v>
      </c>
      <c r="AL28" s="30">
        <v>10</v>
      </c>
      <c r="AM28" s="30">
        <v>15</v>
      </c>
      <c r="AN28" s="30">
        <v>25</v>
      </c>
      <c r="AO28" s="16"/>
    </row>
    <row r="29" spans="1:41" x14ac:dyDescent="0.25">
      <c r="B29" s="20" t="s">
        <v>68</v>
      </c>
      <c r="C29" s="20" t="s">
        <v>69</v>
      </c>
      <c r="D29" s="6"/>
      <c r="E29" s="7"/>
      <c r="F29" s="14">
        <f>'March 2026'!AL29</f>
        <v>15</v>
      </c>
      <c r="G29" s="36"/>
      <c r="H29" s="36"/>
      <c r="I29" s="31"/>
      <c r="J29" s="31"/>
      <c r="K29" s="31"/>
      <c r="L29" s="31"/>
      <c r="M29" s="31"/>
      <c r="N29" s="31"/>
      <c r="O29" s="31"/>
      <c r="P29" s="31"/>
      <c r="Q29" s="31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1"/>
      <c r="AC29" s="36"/>
      <c r="AD29" s="36"/>
      <c r="AE29" s="36"/>
      <c r="AF29" s="31"/>
      <c r="AG29" s="31"/>
      <c r="AH29" s="31"/>
      <c r="AI29" s="36"/>
      <c r="AJ29" s="36"/>
      <c r="AK29" s="37">
        <f t="shared" si="0"/>
        <v>15</v>
      </c>
      <c r="AL29" s="30"/>
      <c r="AM29" s="30"/>
      <c r="AN29" s="30"/>
      <c r="AO29" s="16" t="s">
        <v>107</v>
      </c>
    </row>
    <row r="30" spans="1:41" x14ac:dyDescent="0.25">
      <c r="B30" s="20" t="s">
        <v>70</v>
      </c>
      <c r="C30" s="20" t="s">
        <v>71</v>
      </c>
      <c r="D30" s="6"/>
      <c r="E30" s="7"/>
      <c r="F30" s="14">
        <f>'March 2026'!AL30</f>
        <v>0</v>
      </c>
      <c r="G30" s="36"/>
      <c r="H30" s="36"/>
      <c r="I30" s="31"/>
      <c r="J30" s="31"/>
      <c r="K30" s="31"/>
      <c r="L30" s="31"/>
      <c r="M30" s="31"/>
      <c r="N30" s="31"/>
      <c r="O30" s="31"/>
      <c r="P30" s="31"/>
      <c r="Q30" s="31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1"/>
      <c r="AC30" s="36"/>
      <c r="AD30" s="36"/>
      <c r="AE30" s="36"/>
      <c r="AF30" s="31"/>
      <c r="AG30" s="31"/>
      <c r="AH30" s="31"/>
      <c r="AI30" s="36"/>
      <c r="AJ30" s="36"/>
      <c r="AK30" s="37">
        <f t="shared" si="0"/>
        <v>0</v>
      </c>
      <c r="AL30" s="30"/>
      <c r="AM30" s="30"/>
      <c r="AN30" s="30"/>
      <c r="AO30" s="16" t="s">
        <v>107</v>
      </c>
    </row>
    <row r="31" spans="1:41" x14ac:dyDescent="0.25">
      <c r="A31" t="s">
        <v>104</v>
      </c>
      <c r="B31" s="20" t="s">
        <v>72</v>
      </c>
      <c r="C31" s="20" t="s">
        <v>73</v>
      </c>
      <c r="D31" s="6"/>
      <c r="E31" s="7"/>
      <c r="F31" s="14">
        <f>'March 2026'!AL31</f>
        <v>20</v>
      </c>
      <c r="G31" s="36"/>
      <c r="H31" s="36"/>
      <c r="I31" s="31"/>
      <c r="J31" s="31"/>
      <c r="K31" s="31"/>
      <c r="L31" s="31"/>
      <c r="M31" s="31"/>
      <c r="N31" s="31"/>
      <c r="O31" s="31"/>
      <c r="P31" s="31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1"/>
      <c r="AC31" s="36"/>
      <c r="AD31" s="36"/>
      <c r="AE31" s="36"/>
      <c r="AF31" s="31"/>
      <c r="AG31" s="31"/>
      <c r="AH31" s="31"/>
      <c r="AI31" s="36"/>
      <c r="AJ31" s="36"/>
      <c r="AK31" s="37">
        <f t="shared" si="0"/>
        <v>20</v>
      </c>
      <c r="AL31" s="30"/>
      <c r="AM31" s="30"/>
      <c r="AN31" s="30"/>
      <c r="AO31" s="16" t="s">
        <v>107</v>
      </c>
    </row>
    <row r="32" spans="1:41" x14ac:dyDescent="0.25">
      <c r="B32" s="33" t="s">
        <v>74</v>
      </c>
      <c r="C32" s="33" t="s">
        <v>75</v>
      </c>
      <c r="D32" s="6"/>
      <c r="E32" s="7"/>
      <c r="F32" s="14">
        <f>'March 2026'!AL32</f>
        <v>50</v>
      </c>
      <c r="G32" s="36"/>
      <c r="H32" s="36"/>
      <c r="I32" s="31"/>
      <c r="J32" s="31"/>
      <c r="K32" s="31"/>
      <c r="L32" s="31"/>
      <c r="M32" s="31"/>
      <c r="N32" s="31"/>
      <c r="O32" s="31"/>
      <c r="P32" s="31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1"/>
      <c r="AC32" s="36"/>
      <c r="AD32" s="36"/>
      <c r="AE32" s="36"/>
      <c r="AF32" s="31"/>
      <c r="AG32" s="31"/>
      <c r="AH32" s="31"/>
      <c r="AI32" s="36"/>
      <c r="AJ32" s="36"/>
      <c r="AK32" s="37">
        <f t="shared" si="0"/>
        <v>50</v>
      </c>
      <c r="AL32" s="30">
        <v>5</v>
      </c>
      <c r="AM32" s="30">
        <v>10</v>
      </c>
      <c r="AN32" s="30">
        <v>20</v>
      </c>
      <c r="AO32" s="16"/>
    </row>
    <row r="33" spans="1:41" x14ac:dyDescent="0.25">
      <c r="A33" t="s">
        <v>104</v>
      </c>
      <c r="B33" s="20" t="s">
        <v>76</v>
      </c>
      <c r="C33" s="20" t="s">
        <v>77</v>
      </c>
      <c r="D33" s="6"/>
      <c r="E33" s="7"/>
      <c r="F33" s="14">
        <f>'March 2026'!AL33</f>
        <v>86</v>
      </c>
      <c r="G33" s="36"/>
      <c r="H33" s="36"/>
      <c r="I33" s="31"/>
      <c r="J33" s="31"/>
      <c r="K33" s="31"/>
      <c r="L33" s="31"/>
      <c r="M33" s="31"/>
      <c r="N33" s="31"/>
      <c r="O33" s="31"/>
      <c r="P33" s="31"/>
      <c r="Q33" s="36"/>
      <c r="R33" s="36"/>
      <c r="S33" s="31"/>
      <c r="T33" s="36"/>
      <c r="U33" s="36"/>
      <c r="V33" s="36"/>
      <c r="W33" s="36"/>
      <c r="X33" s="36"/>
      <c r="Y33" s="36"/>
      <c r="Z33" s="36"/>
      <c r="AA33" s="36"/>
      <c r="AB33" s="31"/>
      <c r="AC33" s="36"/>
      <c r="AD33" s="31"/>
      <c r="AE33" s="36"/>
      <c r="AF33" s="31"/>
      <c r="AG33" s="31"/>
      <c r="AH33" s="31"/>
      <c r="AI33" s="36"/>
      <c r="AJ33" s="36"/>
      <c r="AK33" s="37">
        <f t="shared" si="0"/>
        <v>86</v>
      </c>
      <c r="AL33" s="30">
        <v>10</v>
      </c>
      <c r="AM33" s="30">
        <v>20</v>
      </c>
      <c r="AN33" s="30">
        <v>50</v>
      </c>
      <c r="AO33" s="16"/>
    </row>
    <row r="34" spans="1:41" x14ac:dyDescent="0.25">
      <c r="A34" t="s">
        <v>104</v>
      </c>
      <c r="B34" s="20" t="s">
        <v>78</v>
      </c>
      <c r="C34" s="20" t="s">
        <v>79</v>
      </c>
      <c r="D34" s="6"/>
      <c r="E34" s="7"/>
      <c r="F34" s="14">
        <f>'March 2026'!AL34</f>
        <v>0</v>
      </c>
      <c r="G34" s="36"/>
      <c r="H34" s="36"/>
      <c r="I34" s="31"/>
      <c r="J34" s="31"/>
      <c r="K34" s="34"/>
      <c r="L34" s="31"/>
      <c r="M34" s="31"/>
      <c r="N34" s="31"/>
      <c r="O34" s="31"/>
      <c r="P34" s="31"/>
      <c r="Q34" s="36"/>
      <c r="R34" s="36"/>
      <c r="S34" s="36"/>
      <c r="T34" s="13"/>
      <c r="U34" s="36"/>
      <c r="V34" s="31"/>
      <c r="W34" s="31"/>
      <c r="X34" s="36"/>
      <c r="Y34" s="36"/>
      <c r="Z34" s="36"/>
      <c r="AA34" s="31"/>
      <c r="AB34" s="31"/>
      <c r="AC34" s="36"/>
      <c r="AD34" s="36"/>
      <c r="AE34" s="36"/>
      <c r="AF34" s="36"/>
      <c r="AG34" s="34"/>
      <c r="AH34" s="31"/>
      <c r="AI34" s="31"/>
      <c r="AJ34" s="36"/>
      <c r="AK34" s="37">
        <f t="shared" si="0"/>
        <v>0</v>
      </c>
      <c r="AL34" s="30">
        <v>5</v>
      </c>
      <c r="AM34" s="30">
        <v>5</v>
      </c>
      <c r="AN34" s="30">
        <v>20</v>
      </c>
      <c r="AO34" s="16"/>
    </row>
    <row r="35" spans="1:41" x14ac:dyDescent="0.25">
      <c r="A35" t="s">
        <v>104</v>
      </c>
      <c r="B35" s="20" t="s">
        <v>80</v>
      </c>
      <c r="C35" s="20" t="s">
        <v>81</v>
      </c>
      <c r="D35" s="6"/>
      <c r="E35" s="7"/>
      <c r="F35" s="14">
        <f>'March 2026'!AL35</f>
        <v>0</v>
      </c>
      <c r="G35" s="36"/>
      <c r="H35" s="36"/>
      <c r="I35" s="31"/>
      <c r="J35" s="31"/>
      <c r="K35" s="31"/>
      <c r="L35" s="31"/>
      <c r="M35" s="31"/>
      <c r="N35" s="31"/>
      <c r="O35" s="31"/>
      <c r="P35" s="31"/>
      <c r="Q35" s="31"/>
      <c r="R35" s="36"/>
      <c r="S35" s="36"/>
      <c r="T35" s="36"/>
      <c r="U35" s="36"/>
      <c r="V35" s="36"/>
      <c r="W35" s="31"/>
      <c r="X35" s="36"/>
      <c r="Y35" s="36"/>
      <c r="Z35" s="36"/>
      <c r="AA35" s="36"/>
      <c r="AB35" s="31"/>
      <c r="AC35" s="36"/>
      <c r="AD35" s="36"/>
      <c r="AE35" s="36"/>
      <c r="AF35" s="36"/>
      <c r="AG35" s="36"/>
      <c r="AH35" s="36"/>
      <c r="AI35" s="36"/>
      <c r="AJ35" s="36"/>
      <c r="AK35" s="37">
        <f t="shared" si="0"/>
        <v>0</v>
      </c>
      <c r="AL35" s="30">
        <v>5</v>
      </c>
      <c r="AM35" s="30">
        <v>5</v>
      </c>
      <c r="AN35" s="30">
        <v>20</v>
      </c>
      <c r="AO35" s="16"/>
    </row>
    <row r="36" spans="1:41" x14ac:dyDescent="0.25">
      <c r="A36" t="s">
        <v>104</v>
      </c>
      <c r="B36" s="20" t="s">
        <v>82</v>
      </c>
      <c r="C36" s="20" t="s">
        <v>83</v>
      </c>
      <c r="D36" s="6"/>
      <c r="E36" s="7"/>
      <c r="F36" s="14">
        <f>'March 2026'!AL36</f>
        <v>0</v>
      </c>
      <c r="G36" s="36"/>
      <c r="H36" s="36"/>
      <c r="I36" s="31"/>
      <c r="J36" s="31"/>
      <c r="K36" s="31"/>
      <c r="L36" s="31"/>
      <c r="M36" s="31"/>
      <c r="N36" s="31"/>
      <c r="O36" s="31"/>
      <c r="P36" s="31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1"/>
      <c r="AC36" s="36"/>
      <c r="AD36" s="31"/>
      <c r="AE36" s="36"/>
      <c r="AF36" s="36"/>
      <c r="AG36" s="36"/>
      <c r="AH36" s="36"/>
      <c r="AI36" s="36"/>
      <c r="AJ36" s="36"/>
      <c r="AK36" s="37">
        <f t="shared" si="0"/>
        <v>0</v>
      </c>
      <c r="AL36" s="30">
        <v>1</v>
      </c>
      <c r="AM36" s="30">
        <v>1</v>
      </c>
      <c r="AN36" s="30">
        <v>5</v>
      </c>
      <c r="AO36" s="16"/>
    </row>
    <row r="37" spans="1:41" x14ac:dyDescent="0.25">
      <c r="A37" t="s">
        <v>103</v>
      </c>
      <c r="B37" s="20" t="s">
        <v>84</v>
      </c>
      <c r="C37" s="20" t="s">
        <v>85</v>
      </c>
      <c r="D37" s="6"/>
      <c r="E37" s="7"/>
      <c r="F37" s="14">
        <f>'March 2026'!AL37</f>
        <v>23</v>
      </c>
      <c r="G37" s="31">
        <f>-7+-16</f>
        <v>-23</v>
      </c>
      <c r="H37" s="31"/>
      <c r="I37" s="31"/>
      <c r="J37" s="31"/>
      <c r="K37" s="31"/>
      <c r="L37" s="31"/>
      <c r="M37" s="31"/>
      <c r="N37" s="31"/>
      <c r="O37" s="31"/>
      <c r="P37" s="74">
        <v>200</v>
      </c>
      <c r="Q37" s="36"/>
      <c r="R37" s="31"/>
      <c r="S37" s="31">
        <f>-79+-44+-40</f>
        <v>-163</v>
      </c>
      <c r="T37" s="36"/>
      <c r="U37" s="34"/>
      <c r="V37" s="34"/>
      <c r="W37" s="31"/>
      <c r="X37" s="36"/>
      <c r="Y37" s="36"/>
      <c r="Z37" s="36"/>
      <c r="AA37" s="31"/>
      <c r="AB37" s="31"/>
      <c r="AC37" s="31"/>
      <c r="AD37" s="31"/>
      <c r="AE37" s="31"/>
      <c r="AF37" s="31"/>
      <c r="AG37" s="36"/>
      <c r="AH37" s="31"/>
      <c r="AI37" s="36"/>
      <c r="AJ37" s="31"/>
      <c r="AK37" s="37">
        <f t="shared" si="0"/>
        <v>37</v>
      </c>
      <c r="AL37" s="30">
        <v>100</v>
      </c>
      <c r="AM37" s="30">
        <v>150</v>
      </c>
      <c r="AN37" s="30">
        <v>500</v>
      </c>
      <c r="AO37" s="16"/>
    </row>
    <row r="38" spans="1:41" x14ac:dyDescent="0.25">
      <c r="B38" s="20" t="s">
        <v>86</v>
      </c>
      <c r="C38" s="20" t="s">
        <v>87</v>
      </c>
      <c r="D38" s="6"/>
      <c r="E38" s="7"/>
      <c r="F38" s="14">
        <f>'March 2026'!AL38</f>
        <v>0</v>
      </c>
      <c r="G38" s="36"/>
      <c r="H38" s="36"/>
      <c r="I38" s="36"/>
      <c r="J38" s="36"/>
      <c r="K38" s="36"/>
      <c r="L38" s="31"/>
      <c r="M38" s="31"/>
      <c r="N38" s="31"/>
      <c r="O38" s="31"/>
      <c r="P38" s="31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1"/>
      <c r="AF38" s="36"/>
      <c r="AG38" s="36"/>
      <c r="AH38" s="36"/>
      <c r="AI38" s="36"/>
      <c r="AJ38" s="36"/>
      <c r="AK38" s="37">
        <f t="shared" si="0"/>
        <v>0</v>
      </c>
      <c r="AL38" s="30"/>
      <c r="AM38" s="30"/>
      <c r="AN38" s="30"/>
      <c r="AO38" s="16" t="s">
        <v>107</v>
      </c>
    </row>
    <row r="39" spans="1:41" x14ac:dyDescent="0.25">
      <c r="A39" t="s">
        <v>103</v>
      </c>
      <c r="B39" s="20" t="s">
        <v>88</v>
      </c>
      <c r="C39" s="20" t="s">
        <v>89</v>
      </c>
      <c r="D39" s="6"/>
      <c r="E39" s="7"/>
      <c r="F39" s="14">
        <f>'March 2026'!AL39</f>
        <v>100</v>
      </c>
      <c r="G39" s="36"/>
      <c r="H39" s="36"/>
      <c r="I39" s="36"/>
      <c r="J39" s="36"/>
      <c r="K39" s="34"/>
      <c r="L39" s="31">
        <v>-9</v>
      </c>
      <c r="M39" s="31"/>
      <c r="N39" s="31"/>
      <c r="O39" s="31"/>
      <c r="P39" s="31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4"/>
      <c r="AJ39" s="36"/>
      <c r="AK39" s="37">
        <f t="shared" si="0"/>
        <v>91</v>
      </c>
      <c r="AL39" s="30">
        <v>25</v>
      </c>
      <c r="AM39" s="30">
        <v>50</v>
      </c>
      <c r="AN39" s="30">
        <v>100</v>
      </c>
      <c r="AO39" s="16"/>
    </row>
    <row r="40" spans="1:41" x14ac:dyDescent="0.25">
      <c r="B40" s="20" t="s">
        <v>90</v>
      </c>
      <c r="C40" s="20" t="s">
        <v>91</v>
      </c>
      <c r="D40" s="6"/>
      <c r="E40" s="7"/>
      <c r="F40" s="14">
        <f>'March 2026'!AL40</f>
        <v>14</v>
      </c>
      <c r="G40" s="36"/>
      <c r="H40" s="36"/>
      <c r="I40" s="36"/>
      <c r="J40" s="36"/>
      <c r="K40" s="36"/>
      <c r="L40" s="36"/>
      <c r="M40" s="36"/>
      <c r="N40" s="36"/>
      <c r="O40" s="31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7">
        <f t="shared" si="0"/>
        <v>14</v>
      </c>
      <c r="AL40" s="30"/>
      <c r="AM40" s="30"/>
      <c r="AN40" s="30"/>
      <c r="AO40" s="16" t="s">
        <v>107</v>
      </c>
    </row>
    <row r="41" spans="1:41" x14ac:dyDescent="0.25">
      <c r="A41" t="s">
        <v>104</v>
      </c>
      <c r="B41" s="20" t="s">
        <v>92</v>
      </c>
      <c r="C41" s="20" t="s">
        <v>93</v>
      </c>
      <c r="D41" s="12"/>
      <c r="E41" s="3"/>
      <c r="F41" s="14">
        <f>'March 2026'!AL41</f>
        <v>18</v>
      </c>
      <c r="G41" s="31"/>
      <c r="H41" s="31">
        <v>-1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>
        <f>-12+-5</f>
        <v>-17</v>
      </c>
      <c r="T41" s="31"/>
      <c r="U41" s="31"/>
      <c r="V41" s="31"/>
      <c r="W41" s="31"/>
      <c r="X41" s="31"/>
      <c r="Y41" s="31"/>
      <c r="Z41" s="31"/>
      <c r="AA41" s="31"/>
      <c r="AB41" s="34"/>
      <c r="AC41" s="31"/>
      <c r="AD41" s="31"/>
      <c r="AE41" s="31"/>
      <c r="AF41" s="31"/>
      <c r="AG41" s="31"/>
      <c r="AH41" s="31"/>
      <c r="AI41" s="31"/>
      <c r="AJ41" s="31"/>
      <c r="AK41" s="37">
        <f t="shared" si="0"/>
        <v>0</v>
      </c>
      <c r="AL41" s="30">
        <v>15</v>
      </c>
      <c r="AM41" s="30">
        <v>20</v>
      </c>
      <c r="AN41" s="30">
        <v>50</v>
      </c>
    </row>
    <row r="42" spans="1:41" x14ac:dyDescent="0.25">
      <c r="A42" t="s">
        <v>104</v>
      </c>
      <c r="B42" s="20" t="s">
        <v>94</v>
      </c>
      <c r="C42" s="20" t="s">
        <v>95</v>
      </c>
      <c r="D42" s="12"/>
      <c r="E42" s="3"/>
      <c r="F42" s="14">
        <f>'March 2026'!AL42</f>
        <v>0</v>
      </c>
      <c r="G42" s="31"/>
      <c r="H42" s="31"/>
      <c r="I42" s="31"/>
      <c r="J42" s="31"/>
      <c r="K42" s="31"/>
      <c r="L42" s="31"/>
      <c r="M42" s="31"/>
      <c r="N42" s="13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7">
        <f t="shared" si="0"/>
        <v>0</v>
      </c>
      <c r="AL42" s="30">
        <v>15</v>
      </c>
      <c r="AM42" s="30">
        <v>20</v>
      </c>
      <c r="AN42" s="30">
        <v>50</v>
      </c>
    </row>
    <row r="43" spans="1:41" x14ac:dyDescent="0.25">
      <c r="A43" t="s">
        <v>104</v>
      </c>
      <c r="B43" s="20" t="s">
        <v>96</v>
      </c>
      <c r="C43" s="20" t="s">
        <v>97</v>
      </c>
      <c r="D43" s="12"/>
      <c r="E43" s="3"/>
      <c r="F43" s="14">
        <f>'March 2026'!AL43</f>
        <v>47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7">
        <f t="shared" si="0"/>
        <v>47</v>
      </c>
      <c r="AL43" s="30">
        <v>5</v>
      </c>
      <c r="AM43" s="30">
        <v>10</v>
      </c>
      <c r="AN43" s="30">
        <v>10</v>
      </c>
    </row>
    <row r="44" spans="1:41" x14ac:dyDescent="0.25">
      <c r="A44" t="s">
        <v>103</v>
      </c>
      <c r="B44" s="20" t="s">
        <v>98</v>
      </c>
      <c r="C44" s="20" t="s">
        <v>99</v>
      </c>
      <c r="D44" s="12"/>
      <c r="E44" s="3"/>
      <c r="F44" s="14">
        <f>'March 2026'!AL44</f>
        <v>322</v>
      </c>
      <c r="G44" s="31">
        <v>-27</v>
      </c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7">
        <f t="shared" si="0"/>
        <v>295</v>
      </c>
      <c r="AL44" s="30">
        <v>20</v>
      </c>
      <c r="AM44" s="30">
        <v>50</v>
      </c>
      <c r="AN44" s="30">
        <v>100</v>
      </c>
    </row>
    <row r="45" spans="1:41" x14ac:dyDescent="0.25">
      <c r="A45" t="s">
        <v>103</v>
      </c>
      <c r="B45" s="20" t="s">
        <v>100</v>
      </c>
      <c r="C45" s="20" t="s">
        <v>101</v>
      </c>
      <c r="D45" s="12"/>
      <c r="E45" s="3"/>
      <c r="F45" s="14">
        <f>'March 2026'!AL45</f>
        <v>6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7">
        <f t="shared" si="0"/>
        <v>6</v>
      </c>
      <c r="AO45" t="s">
        <v>107</v>
      </c>
    </row>
    <row r="46" spans="1:41" x14ac:dyDescent="0.25">
      <c r="A46" s="29"/>
      <c r="B46" s="20"/>
      <c r="C46" s="20"/>
      <c r="D46" s="12"/>
      <c r="E46" s="3"/>
      <c r="F46" s="4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7">
        <f t="shared" si="0"/>
        <v>0</v>
      </c>
    </row>
    <row r="47" spans="1:41" x14ac:dyDescent="0.25">
      <c r="A47" s="29"/>
      <c r="B47" s="20"/>
      <c r="C47" s="20"/>
      <c r="D47" s="12"/>
      <c r="E47" s="3"/>
      <c r="F47" s="4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7">
        <f t="shared" si="0"/>
        <v>0</v>
      </c>
    </row>
    <row r="48" spans="1:41" x14ac:dyDescent="0.25">
      <c r="A48" s="29"/>
      <c r="B48" s="20"/>
      <c r="C48" s="20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37">
        <f t="shared" si="0"/>
        <v>0</v>
      </c>
    </row>
    <row r="49" spans="1:41" x14ac:dyDescent="0.25">
      <c r="A49" s="29"/>
      <c r="B49" s="20"/>
      <c r="C49" s="20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37">
        <f t="shared" si="0"/>
        <v>0</v>
      </c>
    </row>
    <row r="50" spans="1:41" x14ac:dyDescent="0.25">
      <c r="A50" s="29"/>
      <c r="B50" s="20"/>
      <c r="C50" s="20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37">
        <f t="shared" si="0"/>
        <v>0</v>
      </c>
    </row>
    <row r="51" spans="1:41" x14ac:dyDescent="0.25">
      <c r="A51" s="29"/>
      <c r="B51" s="20"/>
      <c r="C51" s="20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37">
        <f t="shared" si="0"/>
        <v>0</v>
      </c>
    </row>
    <row r="52" spans="1:41" x14ac:dyDescent="0.25">
      <c r="A52" s="29"/>
      <c r="B52" s="20"/>
      <c r="C52" s="20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37">
        <f>F52+SUM(G52:AJ52)</f>
        <v>0</v>
      </c>
    </row>
    <row r="53" spans="1:4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25">
        <f>F53+SUM(G53:AJ53)</f>
        <v>0</v>
      </c>
    </row>
    <row r="54" spans="1:41" x14ac:dyDescent="0.25">
      <c r="A54" s="3"/>
      <c r="B54" s="28"/>
      <c r="C54" s="28"/>
      <c r="D54" s="28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1"/>
      <c r="AL54" s="1"/>
      <c r="AM54" s="1"/>
      <c r="AN54" s="1"/>
      <c r="AO54" s="1"/>
    </row>
    <row r="55" spans="1:41" x14ac:dyDescent="0.25">
      <c r="A55" s="3"/>
      <c r="B55" s="28"/>
      <c r="C55" s="28"/>
      <c r="D55" s="2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1"/>
      <c r="AL55" s="1"/>
      <c r="AM55" s="1"/>
      <c r="AN55" s="1"/>
      <c r="AO55" s="1"/>
    </row>
    <row r="56" spans="1:41" ht="32.25" thickBot="1" x14ac:dyDescent="0.3">
      <c r="A56" s="1"/>
      <c r="B56" s="8" t="s">
        <v>21</v>
      </c>
      <c r="C56" s="19"/>
      <c r="D56" s="19"/>
      <c r="E56" s="10" t="s">
        <v>22</v>
      </c>
      <c r="F56" s="22" t="s">
        <v>23</v>
      </c>
      <c r="G56" s="26" t="s">
        <v>24</v>
      </c>
      <c r="H56" s="2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6.5" thickBot="1" x14ac:dyDescent="0.3">
      <c r="A57" s="1"/>
      <c r="B57" s="8" t="s">
        <v>25</v>
      </c>
      <c r="C57" s="19"/>
      <c r="D57" s="19"/>
      <c r="E57" s="9"/>
      <c r="F57" s="21"/>
      <c r="G57" s="38"/>
      <c r="H57" s="3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6.5" thickBot="1" x14ac:dyDescent="0.3">
      <c r="A58" s="1"/>
      <c r="B58" s="8" t="s">
        <v>26</v>
      </c>
      <c r="C58" s="19"/>
      <c r="D58" s="19"/>
      <c r="E58" s="10"/>
      <c r="F58" s="22"/>
      <c r="G58" s="40"/>
      <c r="H58" s="4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6.5" thickBot="1" x14ac:dyDescent="0.3">
      <c r="A59" s="1"/>
      <c r="B59" s="8" t="s">
        <v>27</v>
      </c>
      <c r="C59" s="19"/>
      <c r="D59" s="19"/>
      <c r="E59" s="11"/>
      <c r="F59" s="23"/>
      <c r="G59" s="42"/>
      <c r="H59" s="4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x14ac:dyDescent="0.25">
      <c r="A60" s="1"/>
      <c r="B60" s="44" t="s">
        <v>28</v>
      </c>
      <c r="C60" s="17"/>
      <c r="D60" s="17"/>
      <c r="E60" s="47"/>
      <c r="F60" s="50"/>
      <c r="G60" s="53"/>
      <c r="H60" s="5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x14ac:dyDescent="0.25">
      <c r="A61" s="1"/>
      <c r="B61" s="45"/>
      <c r="C61" s="18"/>
      <c r="D61" s="18"/>
      <c r="E61" s="48"/>
      <c r="F61" s="51"/>
      <c r="G61" s="53"/>
      <c r="H61" s="5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6.5" thickBot="1" x14ac:dyDescent="0.3">
      <c r="A62" s="1"/>
      <c r="B62" s="46"/>
      <c r="C62" s="8"/>
      <c r="D62" s="8"/>
      <c r="E62" s="49"/>
      <c r="F62" s="52"/>
      <c r="G62" s="55"/>
      <c r="H62" s="5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x14ac:dyDescent="0.25">
      <c r="A65" s="1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x14ac:dyDescent="0.25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x14ac:dyDescent="0.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x14ac:dyDescent="0.25">
      <c r="A69" s="1"/>
      <c r="B69" s="2"/>
      <c r="C69" s="2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x14ac:dyDescent="0.25">
      <c r="A70" s="1"/>
      <c r="B70" s="2"/>
      <c r="C70" s="2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</sheetData>
  <mergeCells count="24"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E6:G6"/>
    <mergeCell ref="H6:J6"/>
    <mergeCell ref="K6:L6"/>
    <mergeCell ref="M6:Q6"/>
    <mergeCell ref="E7:G7"/>
    <mergeCell ref="H7:J7"/>
    <mergeCell ref="K7:L7"/>
    <mergeCell ref="M7:Q7"/>
    <mergeCell ref="G57:H57"/>
    <mergeCell ref="G58:H58"/>
    <mergeCell ref="G59:H59"/>
    <mergeCell ref="B60:B62"/>
    <mergeCell ref="E60:E62"/>
    <mergeCell ref="F60:F62"/>
    <mergeCell ref="G60:H62"/>
  </mergeCells>
  <conditionalFormatting sqref="AK11:AK53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 2026</vt:lpstr>
      <vt:lpstr>Feb 2026</vt:lpstr>
      <vt:lpstr>March 2026</vt:lpstr>
      <vt:lpstr>April 2026</vt:lpstr>
      <vt:lpstr>'Jan 2026'!_Hlk122640495</vt:lpstr>
      <vt:lpstr>'March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2026-04-20T10:13:44Z</dcterms:modified>
  <cp:category/>
  <cp:contentStatus/>
</cp:coreProperties>
</file>