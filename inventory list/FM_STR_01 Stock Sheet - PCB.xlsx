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codeName="ThisWorkbook" defaultThemeVersion="124226"/>
  <xr:revisionPtr revIDLastSave="0" documentId="13_ncr:1_{35312786-5EAF-43C5-9A4D-0652C47AAFAD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Jan 2026" sheetId="1" r:id="rId1"/>
    <sheet name="Feb 2026" sheetId="5" r:id="rId2"/>
    <sheet name="March 2026" sheetId="6" r:id="rId3"/>
    <sheet name="April 2026" sheetId="7" r:id="rId4"/>
  </sheets>
  <definedNames>
    <definedName name="_xlnm._FilterDatabase" localSheetId="1" hidden="1">'Feb 2026'!$A$10:$AL$94</definedName>
    <definedName name="_Hlk122640495" localSheetId="0">'Jan 2026'!$B$88</definedName>
    <definedName name="_Hlk122640495" localSheetId="2">'March 2026'!$B$88</definedName>
    <definedName name="_Hlk126512593" localSheetId="0">'Jan 2026'!#REF!</definedName>
    <definedName name="_Hlk126512593" localSheetId="2">'March 2026'!#REF!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7" l="1"/>
  <c r="F13" i="7"/>
  <c r="F14" i="7"/>
  <c r="AK14" i="7" s="1"/>
  <c r="F15" i="7"/>
  <c r="AK15" i="7" s="1"/>
  <c r="F16" i="7"/>
  <c r="F17" i="7"/>
  <c r="F18" i="7"/>
  <c r="AK18" i="7" s="1"/>
  <c r="F19" i="7"/>
  <c r="AK19" i="7" s="1"/>
  <c r="F20" i="7"/>
  <c r="F21" i="7"/>
  <c r="F22" i="7"/>
  <c r="AK22" i="7" s="1"/>
  <c r="F23" i="7"/>
  <c r="AK23" i="7" s="1"/>
  <c r="F24" i="7"/>
  <c r="F25" i="7"/>
  <c r="F26" i="7"/>
  <c r="AK26" i="7" s="1"/>
  <c r="F27" i="7"/>
  <c r="AK27" i="7" s="1"/>
  <c r="F28" i="7"/>
  <c r="F29" i="7"/>
  <c r="F30" i="7"/>
  <c r="AK30" i="7" s="1"/>
  <c r="F31" i="7"/>
  <c r="AK31" i="7" s="1"/>
  <c r="F32" i="7"/>
  <c r="F33" i="7"/>
  <c r="F34" i="7"/>
  <c r="F35" i="7"/>
  <c r="AK35" i="7" s="1"/>
  <c r="F36" i="7"/>
  <c r="F37" i="7"/>
  <c r="F38" i="7"/>
  <c r="F39" i="7"/>
  <c r="AK39" i="7" s="1"/>
  <c r="F40" i="7"/>
  <c r="F41" i="7"/>
  <c r="F42" i="7"/>
  <c r="AK42" i="7" s="1"/>
  <c r="F43" i="7"/>
  <c r="AK43" i="7" s="1"/>
  <c r="F44" i="7"/>
  <c r="F45" i="7"/>
  <c r="F46" i="7"/>
  <c r="AK46" i="7" s="1"/>
  <c r="F47" i="7"/>
  <c r="AK47" i="7" s="1"/>
  <c r="F48" i="7"/>
  <c r="F49" i="7"/>
  <c r="F50" i="7"/>
  <c r="F51" i="7"/>
  <c r="AK51" i="7" s="1"/>
  <c r="F52" i="7"/>
  <c r="F53" i="7"/>
  <c r="F54" i="7"/>
  <c r="F55" i="7"/>
  <c r="AK55" i="7" s="1"/>
  <c r="F56" i="7"/>
  <c r="F57" i="7"/>
  <c r="F58" i="7"/>
  <c r="AK58" i="7" s="1"/>
  <c r="F59" i="7"/>
  <c r="AK59" i="7" s="1"/>
  <c r="F60" i="7"/>
  <c r="F61" i="7"/>
  <c r="F62" i="7"/>
  <c r="AK62" i="7" s="1"/>
  <c r="F63" i="7"/>
  <c r="AK63" i="7" s="1"/>
  <c r="F64" i="7"/>
  <c r="F65" i="7"/>
  <c r="F66" i="7"/>
  <c r="F67" i="7"/>
  <c r="AK67" i="7" s="1"/>
  <c r="F11" i="7"/>
  <c r="AK85" i="7"/>
  <c r="AK84" i="7"/>
  <c r="AK83" i="7"/>
  <c r="AK82" i="7"/>
  <c r="AK81" i="7"/>
  <c r="AK80" i="7"/>
  <c r="AK79" i="7"/>
  <c r="AK78" i="7"/>
  <c r="AK77" i="7"/>
  <c r="AK76" i="7"/>
  <c r="AK69" i="7"/>
  <c r="AK66" i="7"/>
  <c r="AK65" i="7"/>
  <c r="AK64" i="7"/>
  <c r="AK61" i="7"/>
  <c r="AK60" i="7"/>
  <c r="AK57" i="7"/>
  <c r="AK56" i="7"/>
  <c r="AK54" i="7"/>
  <c r="AK53" i="7"/>
  <c r="AK52" i="7"/>
  <c r="AK50" i="7"/>
  <c r="AK49" i="7"/>
  <c r="AK48" i="7"/>
  <c r="AK45" i="7"/>
  <c r="AK44" i="7"/>
  <c r="AK41" i="7"/>
  <c r="AK40" i="7"/>
  <c r="AK38" i="7"/>
  <c r="AK37" i="7"/>
  <c r="AK36" i="7"/>
  <c r="AK34" i="7"/>
  <c r="AK33" i="7"/>
  <c r="AK32" i="7"/>
  <c r="AK29" i="7"/>
  <c r="AK28" i="7"/>
  <c r="AK25" i="7"/>
  <c r="AK24" i="7"/>
  <c r="AK21" i="7"/>
  <c r="AK20" i="7"/>
  <c r="AK17" i="7"/>
  <c r="AK16" i="7"/>
  <c r="AK13" i="7"/>
  <c r="AK12" i="7"/>
  <c r="AK11" i="7"/>
  <c r="L18" i="6" l="1"/>
  <c r="F18" i="1" l="1"/>
  <c r="F13" i="1"/>
  <c r="K21" i="6"/>
  <c r="K26" i="6"/>
  <c r="F19" i="6"/>
  <c r="AL19" i="6" s="1"/>
  <c r="F20" i="6"/>
  <c r="F21" i="6"/>
  <c r="F22" i="6"/>
  <c r="F23" i="6"/>
  <c r="AL23" i="6" s="1"/>
  <c r="F24" i="6"/>
  <c r="F25" i="6"/>
  <c r="F26" i="6"/>
  <c r="F27" i="6"/>
  <c r="AL27" i="6" s="1"/>
  <c r="F28" i="6"/>
  <c r="F29" i="6"/>
  <c r="F30" i="6"/>
  <c r="F31" i="6"/>
  <c r="AL31" i="6" s="1"/>
  <c r="F32" i="6"/>
  <c r="F33" i="6"/>
  <c r="F34" i="6"/>
  <c r="F35" i="6"/>
  <c r="AL35" i="6" s="1"/>
  <c r="F36" i="6"/>
  <c r="F37" i="6"/>
  <c r="F39" i="6"/>
  <c r="AL39" i="6" s="1"/>
  <c r="F40" i="6"/>
  <c r="F41" i="6"/>
  <c r="F42" i="6"/>
  <c r="F43" i="6"/>
  <c r="AL43" i="6" s="1"/>
  <c r="F44" i="6"/>
  <c r="F45" i="6"/>
  <c r="F46" i="6"/>
  <c r="F47" i="6"/>
  <c r="AL47" i="6" s="1"/>
  <c r="F48" i="6"/>
  <c r="F49" i="6"/>
  <c r="F50" i="6"/>
  <c r="F51" i="6"/>
  <c r="AL51" i="6" s="1"/>
  <c r="F52" i="6"/>
  <c r="F53" i="6"/>
  <c r="F54" i="6"/>
  <c r="F55" i="6"/>
  <c r="AL55" i="6" s="1"/>
  <c r="F56" i="6"/>
  <c r="F57" i="6"/>
  <c r="F58" i="6"/>
  <c r="F59" i="6"/>
  <c r="AL59" i="6" s="1"/>
  <c r="F60" i="6"/>
  <c r="F61" i="6"/>
  <c r="F62" i="6"/>
  <c r="F63" i="6"/>
  <c r="AL63" i="6" s="1"/>
  <c r="F64" i="6"/>
  <c r="F65" i="6"/>
  <c r="F66" i="6"/>
  <c r="F67" i="6"/>
  <c r="AL67" i="6" s="1"/>
  <c r="F68" i="6"/>
  <c r="F11" i="6"/>
  <c r="AL85" i="6"/>
  <c r="AL84" i="6"/>
  <c r="AL83" i="6"/>
  <c r="AL82" i="6"/>
  <c r="AL81" i="6"/>
  <c r="AL80" i="6"/>
  <c r="AL79" i="6"/>
  <c r="AL78" i="6"/>
  <c r="AL77" i="6"/>
  <c r="AL76" i="6"/>
  <c r="AL69" i="6"/>
  <c r="AL68" i="6"/>
  <c r="F68" i="7" s="1"/>
  <c r="AK68" i="7" s="1"/>
  <c r="AL66" i="6"/>
  <c r="AL65" i="6"/>
  <c r="AL64" i="6"/>
  <c r="AL62" i="6"/>
  <c r="AL61" i="6"/>
  <c r="AL60" i="6"/>
  <c r="AL58" i="6"/>
  <c r="AL57" i="6"/>
  <c r="AL56" i="6"/>
  <c r="AL54" i="6"/>
  <c r="AL53" i="6"/>
  <c r="AL52" i="6"/>
  <c r="AL50" i="6"/>
  <c r="AL49" i="6"/>
  <c r="AL48" i="6"/>
  <c r="AL46" i="6"/>
  <c r="AL45" i="6"/>
  <c r="AL44" i="6"/>
  <c r="AL42" i="6"/>
  <c r="AL41" i="6"/>
  <c r="AL40" i="6"/>
  <c r="AL37" i="6"/>
  <c r="AL36" i="6"/>
  <c r="AL34" i="6"/>
  <c r="AL33" i="6"/>
  <c r="AL32" i="6"/>
  <c r="AL30" i="6"/>
  <c r="AL29" i="6"/>
  <c r="AL28" i="6"/>
  <c r="AL26" i="6"/>
  <c r="AL25" i="6"/>
  <c r="AL24" i="6"/>
  <c r="AL22" i="6"/>
  <c r="AL21" i="6"/>
  <c r="AL20" i="6"/>
  <c r="AL11" i="6"/>
  <c r="AH59" i="5" l="1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Z21" i="5" l="1"/>
  <c r="K21" i="5"/>
  <c r="H15" i="5"/>
  <c r="F19" i="5" l="1"/>
  <c r="AI19" i="5" s="1"/>
  <c r="F22" i="5"/>
  <c r="AI22" i="5" s="1"/>
  <c r="F26" i="5"/>
  <c r="AI26" i="5" s="1"/>
  <c r="F30" i="5"/>
  <c r="AI30" i="5" s="1"/>
  <c r="F34" i="5"/>
  <c r="AI34" i="5" s="1"/>
  <c r="F60" i="5"/>
  <c r="AI60" i="5" s="1"/>
  <c r="F64" i="5"/>
  <c r="AI64" i="5" s="1"/>
  <c r="F67" i="5"/>
  <c r="AI67" i="5" s="1"/>
  <c r="F11" i="5"/>
  <c r="AI11" i="5" s="1"/>
  <c r="AL11" i="1"/>
  <c r="AL19" i="1"/>
  <c r="AL67" i="1"/>
  <c r="AL20" i="1"/>
  <c r="F20" i="5" s="1"/>
  <c r="AI20" i="5" s="1"/>
  <c r="AL21" i="1"/>
  <c r="F21" i="5" s="1"/>
  <c r="AI21" i="5" s="1"/>
  <c r="AL22" i="1"/>
  <c r="AL23" i="1"/>
  <c r="F23" i="5" s="1"/>
  <c r="AI23" i="5" s="1"/>
  <c r="AL24" i="1"/>
  <c r="F24" i="5" s="1"/>
  <c r="AI24" i="5" s="1"/>
  <c r="AL25" i="1"/>
  <c r="F25" i="5" s="1"/>
  <c r="AI25" i="5" s="1"/>
  <c r="AL26" i="1"/>
  <c r="AL27" i="1"/>
  <c r="F27" i="5" s="1"/>
  <c r="AI27" i="5" s="1"/>
  <c r="AL28" i="1"/>
  <c r="F28" i="5" s="1"/>
  <c r="AI28" i="5" s="1"/>
  <c r="AL29" i="1"/>
  <c r="F29" i="5" s="1"/>
  <c r="AI29" i="5" s="1"/>
  <c r="AL30" i="1"/>
  <c r="AL31" i="1"/>
  <c r="F31" i="5" s="1"/>
  <c r="AI31" i="5" s="1"/>
  <c r="AL32" i="1"/>
  <c r="F32" i="5" s="1"/>
  <c r="AI32" i="5" s="1"/>
  <c r="AL33" i="1"/>
  <c r="F33" i="5" s="1"/>
  <c r="AI33" i="5" s="1"/>
  <c r="AL34" i="1"/>
  <c r="AL35" i="1"/>
  <c r="F35" i="5" s="1"/>
  <c r="AI35" i="5" s="1"/>
  <c r="AL36" i="1"/>
  <c r="F36" i="5" s="1"/>
  <c r="AI36" i="5" s="1"/>
  <c r="AL37" i="1"/>
  <c r="F37" i="5" s="1"/>
  <c r="AI37" i="5" s="1"/>
  <c r="AL38" i="1"/>
  <c r="F38" i="5" s="1"/>
  <c r="AI38" i="5" s="1"/>
  <c r="F38" i="6" s="1"/>
  <c r="AL38" i="6" s="1"/>
  <c r="AL39" i="1"/>
  <c r="F39" i="5" s="1"/>
  <c r="AI39" i="5" s="1"/>
  <c r="AL40" i="1"/>
  <c r="F40" i="5" s="1"/>
  <c r="AI40" i="5" s="1"/>
  <c r="AL41" i="1"/>
  <c r="F41" i="5" s="1"/>
  <c r="AI41" i="5" s="1"/>
  <c r="AL42" i="1"/>
  <c r="F42" i="5" s="1"/>
  <c r="AI42" i="5" s="1"/>
  <c r="AL43" i="1"/>
  <c r="F43" i="5" s="1"/>
  <c r="AI43" i="5" s="1"/>
  <c r="AL44" i="1"/>
  <c r="F44" i="5" s="1"/>
  <c r="AI44" i="5" s="1"/>
  <c r="AL45" i="1"/>
  <c r="F45" i="5" s="1"/>
  <c r="AI45" i="5" s="1"/>
  <c r="AL46" i="1"/>
  <c r="F46" i="5" s="1"/>
  <c r="AI46" i="5" s="1"/>
  <c r="AL47" i="1"/>
  <c r="F47" i="5" s="1"/>
  <c r="AI47" i="5" s="1"/>
  <c r="AL48" i="1"/>
  <c r="F48" i="5" s="1"/>
  <c r="AI48" i="5" s="1"/>
  <c r="AL49" i="1"/>
  <c r="F49" i="5" s="1"/>
  <c r="AI49" i="5" s="1"/>
  <c r="AL50" i="1"/>
  <c r="F50" i="5" s="1"/>
  <c r="AI50" i="5" s="1"/>
  <c r="AL51" i="1"/>
  <c r="F51" i="5" s="1"/>
  <c r="AI51" i="5" s="1"/>
  <c r="AL52" i="1"/>
  <c r="F52" i="5" s="1"/>
  <c r="AI52" i="5" s="1"/>
  <c r="AL53" i="1"/>
  <c r="F53" i="5" s="1"/>
  <c r="AI53" i="5" s="1"/>
  <c r="AL54" i="1"/>
  <c r="F54" i="5" s="1"/>
  <c r="AI54" i="5" s="1"/>
  <c r="AL55" i="1"/>
  <c r="F55" i="5" s="1"/>
  <c r="AI55" i="5" s="1"/>
  <c r="AL56" i="1"/>
  <c r="F56" i="5" s="1"/>
  <c r="AI56" i="5" s="1"/>
  <c r="AL57" i="1"/>
  <c r="F57" i="5" s="1"/>
  <c r="AI57" i="5" s="1"/>
  <c r="AL58" i="1"/>
  <c r="F58" i="5" s="1"/>
  <c r="AI58" i="5" s="1"/>
  <c r="AL59" i="1"/>
  <c r="F59" i="5" s="1"/>
  <c r="AI59" i="5" s="1"/>
  <c r="AL60" i="1"/>
  <c r="AL61" i="1"/>
  <c r="F61" i="5" s="1"/>
  <c r="AI61" i="5" s="1"/>
  <c r="AL62" i="1"/>
  <c r="F62" i="5" s="1"/>
  <c r="AI62" i="5" s="1"/>
  <c r="AL63" i="1"/>
  <c r="F63" i="5" s="1"/>
  <c r="AI63" i="5" s="1"/>
  <c r="AL64" i="1"/>
  <c r="AL65" i="1"/>
  <c r="F65" i="5" s="1"/>
  <c r="AI65" i="5" s="1"/>
  <c r="AL66" i="1"/>
  <c r="F66" i="5" s="1"/>
  <c r="AI66" i="5" s="1"/>
  <c r="AL68" i="1"/>
  <c r="F68" i="5" s="1"/>
  <c r="AI68" i="5" s="1"/>
  <c r="AL69" i="1"/>
  <c r="AL12" i="1"/>
  <c r="F12" i="5" s="1"/>
  <c r="AI12" i="5" s="1"/>
  <c r="F12" i="6" s="1"/>
  <c r="AL12" i="6" s="1"/>
  <c r="AL13" i="1"/>
  <c r="F13" i="5" s="1"/>
  <c r="AI13" i="5" s="1"/>
  <c r="F13" i="6" s="1"/>
  <c r="AL13" i="6" s="1"/>
  <c r="AL14" i="1"/>
  <c r="F14" i="5" s="1"/>
  <c r="AI14" i="5" s="1"/>
  <c r="F14" i="6" s="1"/>
  <c r="AL14" i="6" s="1"/>
  <c r="AL15" i="1"/>
  <c r="F15" i="5" s="1"/>
  <c r="AI15" i="5" s="1"/>
  <c r="F15" i="6" s="1"/>
  <c r="AL15" i="6" s="1"/>
  <c r="AL16" i="1"/>
  <c r="F16" i="5" s="1"/>
  <c r="AI16" i="5" s="1"/>
  <c r="F16" i="6" s="1"/>
  <c r="AL16" i="6" s="1"/>
  <c r="AL17" i="1"/>
  <c r="F17" i="5" s="1"/>
  <c r="AI17" i="5" s="1"/>
  <c r="F17" i="6" s="1"/>
  <c r="AL17" i="6" s="1"/>
  <c r="AL18" i="1"/>
  <c r="F18" i="5" s="1"/>
  <c r="AI18" i="5" s="1"/>
  <c r="F18" i="6" s="1"/>
  <c r="AL18" i="6" s="1"/>
  <c r="AL85" i="1" l="1"/>
  <c r="AL84" i="1"/>
  <c r="AL83" i="1"/>
  <c r="AL82" i="1"/>
  <c r="AL81" i="1"/>
  <c r="AL80" i="1"/>
  <c r="AL79" i="1"/>
  <c r="AL78" i="1"/>
  <c r="AL77" i="1"/>
  <c r="AL7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FFFE1B98-EF52-4F96-A72E-18ED636A08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AH15" authorId="0" shapeId="0" xr:uid="{CD0D11CB-7596-4AF2-9BA9-29D29AF5CCD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JiaLiChuang (HongKong) Co. Ltd INV No.222148 Dt.23-Jan-2026
</t>
        </r>
      </text>
    </comment>
    <comment ref="AH66" authorId="0" shapeId="0" xr:uid="{096F0CED-8461-4DB7-BFCF-B5E2B97732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JiaLiChuang (HongKong) Co. Ltd INV No.222148 Dt.23-Jan-2026
</t>
        </r>
      </text>
    </comment>
    <comment ref="AH67" authorId="0" shapeId="0" xr:uid="{177E6317-8163-43CB-80FE-A5B76FCDCDC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JiaLiChuang (HongKong) Co. Ltd INV No.222148 Dt.23-Jan-2026
</t>
        </r>
      </text>
    </comment>
    <comment ref="AH68" authorId="0" shapeId="0" xr:uid="{408181B9-BFC3-49AA-9C28-4C642B2DED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JiaLiChuang (HongKong) Co. Ltd INV No.222148 Dt.23-Jan-2026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2554EC50-53BF-49F8-930B-5047881198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K26" authorId="0" shapeId="0" xr:uid="{70320FA0-44D4-4CEF-A5B7-F81E2113B51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Varshini Electronics          Inv No. 1310 Dt.6-Feb-2026</t>
        </r>
      </text>
    </comment>
    <comment ref="Z59" authorId="0" shapeId="0" xr:uid="{3B49C1BF-967F-48A5-AE65-5E306AE10CC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Varshini Electronics            Inv -1317 Dt.21-feb-26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67619390-D4FF-4610-9425-218A655AB91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V37" authorId="0" shapeId="0" xr:uid="{90AF952E-63A2-4285-BF7D-4C896F8E6AB8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Material Returned to Store From Vasavi &amp; Belenus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C2662B6F-365E-405D-8ED8-78EB53970D2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N15" authorId="0" shapeId="0" xr:uid="{E514C9DE-8062-41D9-A259-58F70B33949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JLCPCB
Inv-870312306669
Dt.04-04-2026
</t>
        </r>
      </text>
    </comment>
    <comment ref="N18" authorId="0" shapeId="0" xr:uid="{B0217671-B21F-4B91-ADFE-8900172FD09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JLCPCB
Inv-870312306669
Dt.04-04-2026
</t>
        </r>
      </text>
    </comment>
    <comment ref="N21" authorId="0" shapeId="0" xr:uid="{EBDE47B7-AB38-43A2-A9AE-73226147BE2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JLCPCB
Inv-870312306669
Dt.04-04-2026
</t>
        </r>
      </text>
    </comment>
    <comment ref="N22" authorId="0" shapeId="0" xr:uid="{39F6FAF4-111B-43B4-BDB4-A3426C53A5C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JLCPCB
Inv-870312306669
Dt.04-04-2026
</t>
        </r>
      </text>
    </comment>
    <comment ref="N56" authorId="0" shapeId="0" xr:uid="{E408F3F7-ED97-47EB-88D8-EFC19BA707D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JLCPCB
Inv-870312306669
Dt.04-04-2026
</t>
        </r>
      </text>
    </comment>
    <comment ref="N69" authorId="0" shapeId="0" xr:uid="{638FE7D5-D179-4CD0-9092-48EE160DC75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JLCPCB
Inv-870312306669
Dt.04-04-2026
</t>
        </r>
      </text>
    </comment>
  </commentList>
</comments>
</file>

<file path=xl/sharedStrings.xml><?xml version="1.0" encoding="utf-8"?>
<sst xmlns="http://schemas.openxmlformats.org/spreadsheetml/2006/main" count="1038" uniqueCount="157">
  <si>
    <t>FORMS AND FORMATS</t>
  </si>
  <si>
    <r>
      <rPr>
        <b/>
        <sz val="11"/>
        <color theme="1"/>
        <rFont val="Times New Roman"/>
        <family val="1"/>
      </rPr>
      <t>Title</t>
    </r>
    <r>
      <rPr>
        <b/>
        <sz val="12"/>
        <color theme="1"/>
        <rFont val="Times New Roman"/>
        <family val="1"/>
      </rPr>
      <t>:</t>
    </r>
    <r>
      <rPr>
        <sz val="11"/>
        <color theme="1"/>
        <rFont val="Times New Roman"/>
        <family val="1"/>
      </rPr>
      <t xml:space="preserve"> Stock Sheet</t>
    </r>
  </si>
  <si>
    <t>Department</t>
  </si>
  <si>
    <t>STORES</t>
  </si>
  <si>
    <t>Version No.</t>
  </si>
  <si>
    <t>Issued Date</t>
  </si>
  <si>
    <t>DOC. No.</t>
  </si>
  <si>
    <t>FM/STR/001</t>
  </si>
  <si>
    <t>Supersedes</t>
  </si>
  <si>
    <t>NIL</t>
  </si>
  <si>
    <t>Next Review Date</t>
  </si>
  <si>
    <t>Effective date</t>
  </si>
  <si>
    <t>Type of Goods</t>
  </si>
  <si>
    <t>Storage Location</t>
  </si>
  <si>
    <t>Part Number</t>
  </si>
  <si>
    <t>Product Name</t>
  </si>
  <si>
    <t>Rate</t>
  </si>
  <si>
    <t>Unit</t>
  </si>
  <si>
    <t>Minimum Stock</t>
  </si>
  <si>
    <t>Re order level</t>
  </si>
  <si>
    <t>Maximum Stock</t>
  </si>
  <si>
    <t>Functions</t>
  </si>
  <si>
    <t>Prepared By</t>
  </si>
  <si>
    <t>Reviewed By</t>
  </si>
  <si>
    <t>Approved By</t>
  </si>
  <si>
    <t>Name</t>
  </si>
  <si>
    <t>Designation</t>
  </si>
  <si>
    <t>Date</t>
  </si>
  <si>
    <t xml:space="preserve">Sign </t>
  </si>
  <si>
    <t>PCB - General Purpose - Single Side</t>
  </si>
  <si>
    <t>PCB - General Purpose - Double Side</t>
  </si>
  <si>
    <t>PCB 1.0 - Bed Switch</t>
  </si>
  <si>
    <t>PCB 1.0 - Toilet Switch / Door Indicator</t>
  </si>
  <si>
    <t>PCB 1.1 - Bed Switch</t>
  </si>
  <si>
    <t>PCB 3.0 - 19mm Switch</t>
  </si>
  <si>
    <t>PCB 3.0 - Batt Opd</t>
  </si>
  <si>
    <t>PCB 3.0 - Door Indicator</t>
  </si>
  <si>
    <t>PCB 3.0 - Door Indicator - Sparsh</t>
  </si>
  <si>
    <t>PCB 3.0 - Handheld</t>
  </si>
  <si>
    <t>PCB 3.0 - Toilet Switch</t>
  </si>
  <si>
    <t>PCB 3.1 - Bed Switch</t>
  </si>
  <si>
    <t>PCB 3.1 - Door Indicator - RGB</t>
  </si>
  <si>
    <t>Teller Technologies Private Limited</t>
  </si>
  <si>
    <t>2nd Floor, No.1 7th Cross, 2nd Block TC Palya Main Road CSB Bank ATM Akshaya Nagar  Ramamurthi Nagar Bangalore-560016</t>
  </si>
  <si>
    <t>PCB SA - 1.0 BS w/o ESP, w/o P/S</t>
  </si>
  <si>
    <t>PCB SA - 3.0 BS w/o ESP, w/o P/S</t>
  </si>
  <si>
    <t>PCB SA - 1.1 BS w/o ESP, w/o P/S</t>
  </si>
  <si>
    <t>PCB SA - 1.1 BS w/o ESP, with P/S</t>
  </si>
  <si>
    <t>PCB SA - 1.1 BS with ESP, w/o P/S</t>
  </si>
  <si>
    <t>PCB SA - 1.1 BS with ESP, with P/S</t>
  </si>
  <si>
    <t>PCB SA - 3.0 TS w/o ESP, w/o P/S</t>
  </si>
  <si>
    <t>PCB SA - 3.0 TS w/o ESP, with P/S</t>
  </si>
  <si>
    <t>PCB SA - 3.0 TS with ESP, w/o P/S</t>
  </si>
  <si>
    <t>PCB SA - 3.0 TS with ESP, with P/S</t>
  </si>
  <si>
    <t>PCB SA - 3.0 DI w/o ESP, w/o P/S</t>
  </si>
  <si>
    <t>PCB SA - 3.0 DI w/o ESP, with P/S</t>
  </si>
  <si>
    <t>PCB SA - 3.0 DI with ESP, w/o P/S</t>
  </si>
  <si>
    <t>PCB SA - 3.0 DI with ESP, with P/S</t>
  </si>
  <si>
    <t>PCB SA - 3.1 BS w/o ESP, w/o P/S</t>
  </si>
  <si>
    <t>PCB SA - 3.1 BS w/o ESP, with P/S</t>
  </si>
  <si>
    <t>PCB SA - 3.1 BS with ESP, w/o P/S</t>
  </si>
  <si>
    <t>PCB SA - 3.1 BS with ESP, with P/S</t>
  </si>
  <si>
    <t>PCB SA - 3.1 Door Indicator-RGB w/o ESP &amp; w/o P/S</t>
  </si>
  <si>
    <t>PCB 1.1 ETH - Bed Switch</t>
  </si>
  <si>
    <t>PCB 3.1 ETH - Toilet Switch</t>
  </si>
  <si>
    <t>PCB 3.1 ETH - Door Indicator</t>
  </si>
  <si>
    <t>PCB SA - 3.0 BS Battery operated  with ESP &amp; Battery Holder</t>
  </si>
  <si>
    <t>PCB  3.0 POE - Door Indicator</t>
  </si>
  <si>
    <t>PCB  3.0  POE - Toilet Switch</t>
  </si>
  <si>
    <t>PCB -POE - Door Indicator (RGB) 1</t>
  </si>
  <si>
    <t>PCB 3.0 POE - Bed Switch</t>
  </si>
  <si>
    <t>PCB - Master PCB Hub - 8 Port</t>
  </si>
  <si>
    <t>PCB 1.1 POE - Bed Switch</t>
  </si>
  <si>
    <t>PCB 1.1 - Bed Switch  POE 1</t>
  </si>
  <si>
    <t>PCB 3.1 - Toilet Switch  POE 1</t>
  </si>
  <si>
    <t>PCB 3.1 - Door Indicator  POE 1</t>
  </si>
  <si>
    <t>PCB - Hub Master  POE 1</t>
  </si>
  <si>
    <t>PCB SA - 3.1 TS with ESP - POE 1</t>
  </si>
  <si>
    <t>PCB SA - 3.1 TS w/o ESP - POE 1</t>
  </si>
  <si>
    <t>PCB SA - 1.1 BS w/o ESP - POE 1</t>
  </si>
  <si>
    <t>PCB SA - 3.1 DI w/o ESP - POE1</t>
  </si>
  <si>
    <t>PCB SA - 3.1 DI with ESP - POE1</t>
  </si>
  <si>
    <t>PCB SA - Hub Master w/o ESP - POE 1</t>
  </si>
  <si>
    <t xml:space="preserve">PCB SA - Master PCB 8 Port </t>
  </si>
  <si>
    <t>PCB SA - 1.1 BS With ESP - POE</t>
  </si>
  <si>
    <t>PCB - 2M Toilet Switch - Wireless</t>
  </si>
  <si>
    <t>PCB - 2M Toilet Switch - POE 1</t>
  </si>
  <si>
    <t>PCB - Door Indictaor ME - POE 1</t>
  </si>
  <si>
    <t>PCB  - 3.1 Bed Switch POE 1</t>
  </si>
  <si>
    <t>PCB-0010001</t>
  </si>
  <si>
    <t>PCB-0010020</t>
  </si>
  <si>
    <t>PCB-0010002</t>
  </si>
  <si>
    <t>PCB-0010003</t>
  </si>
  <si>
    <t>PCB-0010004</t>
  </si>
  <si>
    <t>PCB-0010011</t>
  </si>
  <si>
    <t>PCB-0010012</t>
  </si>
  <si>
    <t>PCB-0010014</t>
  </si>
  <si>
    <t>PCB-0010015</t>
  </si>
  <si>
    <t>PCB-0010016</t>
  </si>
  <si>
    <t>PCB-0010017</t>
  </si>
  <si>
    <t>PCB-0010018</t>
  </si>
  <si>
    <t>PCB-0010019</t>
  </si>
  <si>
    <t>PCB-0015001</t>
  </si>
  <si>
    <t>PCB-0015002</t>
  </si>
  <si>
    <t>PCB-0015003</t>
  </si>
  <si>
    <t>PCB-0015004</t>
  </si>
  <si>
    <t>PCB-0015005</t>
  </si>
  <si>
    <t>PCB-0015006</t>
  </si>
  <si>
    <t>PCB-0015007</t>
  </si>
  <si>
    <t>PCB-0015008</t>
  </si>
  <si>
    <t>PCB-0015009</t>
  </si>
  <si>
    <t>PCB-0015010</t>
  </si>
  <si>
    <t>PCB-0015011</t>
  </si>
  <si>
    <t>PCB-0015012</t>
  </si>
  <si>
    <t>PCB-0015013</t>
  </si>
  <si>
    <t>PCB-0015014</t>
  </si>
  <si>
    <t>PCB-0015015</t>
  </si>
  <si>
    <t>PCB-0015016</t>
  </si>
  <si>
    <t>PCB-0015017</t>
  </si>
  <si>
    <t>PCB-0015018</t>
  </si>
  <si>
    <t>PCB-0015022</t>
  </si>
  <si>
    <t>PCB-0010021</t>
  </si>
  <si>
    <t>PCB-0010022</t>
  </si>
  <si>
    <t>PCB-0015023</t>
  </si>
  <si>
    <t>PCB-0010023</t>
  </si>
  <si>
    <t>PCB-0010024</t>
  </si>
  <si>
    <t>PCB-0010025</t>
  </si>
  <si>
    <t>PCB-0010026</t>
  </si>
  <si>
    <t>PCB-0010027</t>
  </si>
  <si>
    <t>PCB-0010028</t>
  </si>
  <si>
    <t>PCB-0010029</t>
  </si>
  <si>
    <t>PCB-0010030</t>
  </si>
  <si>
    <t>PCB-0010031</t>
  </si>
  <si>
    <t>PCB-0010032</t>
  </si>
  <si>
    <t>PCB-0010033</t>
  </si>
  <si>
    <t>PCB-0010034</t>
  </si>
  <si>
    <t>PCB-0010035</t>
  </si>
  <si>
    <t>PCB-0010036</t>
  </si>
  <si>
    <t>PCB-0010037</t>
  </si>
  <si>
    <t>PCB-0010038</t>
  </si>
  <si>
    <t>PCB-0010039</t>
  </si>
  <si>
    <t>PCB-0010040</t>
  </si>
  <si>
    <t>PCB-0010041</t>
  </si>
  <si>
    <t>PCB-0010042</t>
  </si>
  <si>
    <t>PCB-0010043</t>
  </si>
  <si>
    <t>PCB-0010044</t>
  </si>
  <si>
    <t>A1</t>
  </si>
  <si>
    <t>A2</t>
  </si>
  <si>
    <t>A3</t>
  </si>
  <si>
    <t>A6</t>
  </si>
  <si>
    <t>Nos.</t>
  </si>
  <si>
    <t>Opening Stock</t>
  </si>
  <si>
    <t>Closing Stock</t>
  </si>
  <si>
    <t>A5</t>
  </si>
  <si>
    <t>Not Currently Use</t>
  </si>
  <si>
    <t>PCB - Hub Master  POE 1 - 6 Port</t>
  </si>
  <si>
    <t>PCB -Interface Card -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</si>
</sst>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FF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theme="1"/>
      <name val="Times New Roman"/>
      <family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1" fontId="2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1" fontId="4" fillId="0" borderId="1" xfId="0" applyNumberFormat="1" applyFont="1" applyBorder="1" applyAlignment="1">
      <alignment horizontal="center" wrapText="1"/>
    </xf>
    <xf numFmtId="0" fontId="7" fillId="2" borderId="4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0" fontId="0" fillId="0" borderId="1" xfId="0" applyBorder="1"/>
    <xf numFmtId="0" fontId="14" fillId="0" borderId="1" xfId="0" applyFont="1" applyBorder="1" applyAlignment="1">
      <alignment horizontal="center"/>
    </xf>
    <xf numFmtId="1" fontId="15" fillId="0" borderId="1" xfId="0" applyNumberFormat="1" applyFont="1" applyBorder="1" applyAlignment="1">
      <alignment horizontal="center" wrapText="1"/>
    </xf>
    <xf numFmtId="14" fontId="3" fillId="0" borderId="1" xfId="0" applyNumberFormat="1" applyFont="1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7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16" fillId="0" borderId="1" xfId="0" applyFont="1" applyBorder="1" applyAlignment="1">
      <alignment vertical="top"/>
    </xf>
    <xf numFmtId="0" fontId="8" fillId="2" borderId="15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" fontId="4" fillId="0" borderId="13" xfId="0" applyNumberFormat="1" applyFont="1" applyBorder="1" applyAlignment="1">
      <alignment horizontal="center" wrapText="1"/>
    </xf>
    <xf numFmtId="0" fontId="7" fillId="2" borderId="20" xfId="0" applyFont="1" applyFill="1" applyBorder="1" applyAlignment="1">
      <alignment vertical="center"/>
    </xf>
    <xf numFmtId="0" fontId="7" fillId="2" borderId="21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1" fontId="15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7" fillId="0" borderId="1" xfId="0" applyFont="1" applyBorder="1" applyAlignment="1">
      <alignment horizontal="center"/>
    </xf>
    <xf numFmtId="1" fontId="15" fillId="3" borderId="1" xfId="0" applyNumberFormat="1" applyFont="1" applyFill="1" applyBorder="1" applyAlignment="1">
      <alignment horizontal="center" wrapText="1"/>
    </xf>
    <xf numFmtId="14" fontId="18" fillId="0" borderId="1" xfId="0" applyNumberFormat="1" applyFont="1" applyBorder="1"/>
    <xf numFmtId="0" fontId="1" fillId="0" borderId="0" xfId="0" applyFont="1" applyAlignment="1">
      <alignment horizontal="center"/>
    </xf>
    <xf numFmtId="1" fontId="15" fillId="3" borderId="13" xfId="0" applyNumberFormat="1" applyFont="1" applyFill="1" applyBorder="1" applyAlignment="1">
      <alignment horizont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right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vertical="center" wrapText="1"/>
    </xf>
    <xf numFmtId="0" fontId="8" fillId="2" borderId="1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4" fontId="8" fillId="0" borderId="19" xfId="0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7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</cellXfs>
  <cellStyles count="1">
    <cellStyle name="Normal" xfId="0" builtinId="0"/>
  </cellStyles>
  <dxfs count="12"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0000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94"/>
  <sheetViews>
    <sheetView workbookViewId="0">
      <pane xSplit="3" ySplit="10" topLeftCell="D16" activePane="bottomRight" state="frozen"/>
      <selection pane="topRight" activeCell="D1" sqref="D1"/>
      <selection pane="bottomLeft" activeCell="A11" sqref="A11"/>
      <selection pane="bottomRight" activeCell="F19" sqref="F19"/>
    </sheetView>
  </sheetViews>
  <sheetFormatPr defaultColWidth="16.85546875" defaultRowHeight="12.75" customHeight="1" x14ac:dyDescent="0.2"/>
  <cols>
    <col min="1" max="1" width="8.85546875" style="1" customWidth="1"/>
    <col min="2" max="2" width="16.85546875" style="2"/>
    <col min="3" max="3" width="54.28515625" style="2" bestFit="1" customWidth="1"/>
    <col min="4" max="4" width="8.7109375" style="2" customWidth="1"/>
    <col min="5" max="37" width="8.7109375" style="1" customWidth="1"/>
    <col min="38" max="38" width="10.5703125" style="1" customWidth="1"/>
    <col min="39" max="16384" width="16.85546875" style="1"/>
  </cols>
  <sheetData>
    <row r="1" spans="1:43" customFormat="1" ht="23.45" customHeight="1" x14ac:dyDescent="0.25">
      <c r="E1" s="38" t="s">
        <v>42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spans="1:43" customFormat="1" ht="15" x14ac:dyDescent="0.25">
      <c r="E2" s="39" t="s">
        <v>43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1"/>
    </row>
    <row r="3" spans="1:43" customFormat="1" ht="15.75" x14ac:dyDescent="0.25">
      <c r="E3" s="42" t="s">
        <v>0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43" customFormat="1" ht="15" x14ac:dyDescent="0.25">
      <c r="E4" s="43" t="s">
        <v>1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</row>
    <row r="5" spans="1:43" customFormat="1" ht="15.75" x14ac:dyDescent="0.25">
      <c r="E5" s="44" t="s">
        <v>2</v>
      </c>
      <c r="F5" s="44"/>
      <c r="G5" s="44"/>
      <c r="H5" s="45" t="s">
        <v>3</v>
      </c>
      <c r="I5" s="46"/>
      <c r="J5" s="47"/>
      <c r="K5" s="48" t="s">
        <v>4</v>
      </c>
      <c r="L5" s="48"/>
      <c r="M5" s="13">
        <v>0</v>
      </c>
      <c r="N5" s="49" t="s">
        <v>5</v>
      </c>
      <c r="O5" s="49"/>
      <c r="P5" s="50"/>
      <c r="Q5" s="51"/>
    </row>
    <row r="6" spans="1:43" customFormat="1" ht="15.75" x14ac:dyDescent="0.25">
      <c r="E6" s="44" t="s">
        <v>6</v>
      </c>
      <c r="F6" s="44"/>
      <c r="G6" s="44"/>
      <c r="H6" s="52" t="s">
        <v>7</v>
      </c>
      <c r="I6" s="52"/>
      <c r="J6" s="52"/>
      <c r="K6" s="48" t="s">
        <v>8</v>
      </c>
      <c r="L6" s="48"/>
      <c r="M6" s="53" t="s">
        <v>9</v>
      </c>
      <c r="N6" s="53"/>
      <c r="O6" s="53"/>
      <c r="P6" s="53"/>
      <c r="Q6" s="53"/>
    </row>
    <row r="7" spans="1:43" customFormat="1" ht="15.75" x14ac:dyDescent="0.25">
      <c r="E7" s="48" t="s">
        <v>10</v>
      </c>
      <c r="F7" s="48"/>
      <c r="G7" s="48"/>
      <c r="H7" s="54"/>
      <c r="I7" s="54"/>
      <c r="J7" s="54"/>
      <c r="K7" s="48" t="s">
        <v>11</v>
      </c>
      <c r="L7" s="48"/>
      <c r="M7" s="53"/>
      <c r="N7" s="53"/>
      <c r="O7" s="53"/>
      <c r="P7" s="53"/>
      <c r="Q7" s="53"/>
    </row>
    <row r="8" spans="1:43" customFormat="1" ht="15" x14ac:dyDescent="0.25"/>
    <row r="9" spans="1:43" customFormat="1" ht="15" x14ac:dyDescent="0.25">
      <c r="A9" t="s">
        <v>12</v>
      </c>
    </row>
    <row r="10" spans="1:43" customFormat="1" ht="26.25" x14ac:dyDescent="0.25">
      <c r="A10" s="26" t="s">
        <v>13</v>
      </c>
      <c r="B10" s="6" t="s">
        <v>14</v>
      </c>
      <c r="C10" s="6" t="s">
        <v>15</v>
      </c>
      <c r="D10" s="6" t="s">
        <v>16</v>
      </c>
      <c r="E10" s="7" t="s">
        <v>17</v>
      </c>
      <c r="F10" s="15" t="s">
        <v>151</v>
      </c>
      <c r="G10" s="35">
        <v>46023</v>
      </c>
      <c r="H10" s="35">
        <v>46024</v>
      </c>
      <c r="I10" s="35">
        <v>46025</v>
      </c>
      <c r="J10" s="35">
        <v>46026</v>
      </c>
      <c r="K10" s="35">
        <v>46027</v>
      </c>
      <c r="L10" s="35">
        <v>46028</v>
      </c>
      <c r="M10" s="35">
        <v>46029</v>
      </c>
      <c r="N10" s="35">
        <v>46030</v>
      </c>
      <c r="O10" s="35">
        <v>46031</v>
      </c>
      <c r="P10" s="35">
        <v>46032</v>
      </c>
      <c r="Q10" s="35">
        <v>46033</v>
      </c>
      <c r="R10" s="35">
        <v>46034</v>
      </c>
      <c r="S10" s="35">
        <v>46035</v>
      </c>
      <c r="T10" s="35">
        <v>46036</v>
      </c>
      <c r="U10" s="35">
        <v>46037</v>
      </c>
      <c r="V10" s="35">
        <v>46038</v>
      </c>
      <c r="W10" s="35">
        <v>46039</v>
      </c>
      <c r="X10" s="35">
        <v>46040</v>
      </c>
      <c r="Y10" s="35">
        <v>46041</v>
      </c>
      <c r="Z10" s="35">
        <v>46042</v>
      </c>
      <c r="AA10" s="35">
        <v>46043</v>
      </c>
      <c r="AB10" s="35">
        <v>46044</v>
      </c>
      <c r="AC10" s="35">
        <v>46045</v>
      </c>
      <c r="AD10" s="35">
        <v>46046</v>
      </c>
      <c r="AE10" s="35">
        <v>46047</v>
      </c>
      <c r="AF10" s="35">
        <v>46048</v>
      </c>
      <c r="AG10" s="35">
        <v>46049</v>
      </c>
      <c r="AH10" s="35">
        <v>46050</v>
      </c>
      <c r="AI10" s="35">
        <v>46051</v>
      </c>
      <c r="AJ10" s="35">
        <v>46052</v>
      </c>
      <c r="AK10" s="35">
        <v>46053</v>
      </c>
      <c r="AL10" s="15" t="s">
        <v>152</v>
      </c>
      <c r="AM10" s="5" t="s">
        <v>18</v>
      </c>
      <c r="AN10" s="5" t="s">
        <v>19</v>
      </c>
      <c r="AO10" s="5" t="s">
        <v>20</v>
      </c>
      <c r="AP10" s="17"/>
      <c r="AQ10" s="18"/>
    </row>
    <row r="11" spans="1:43" customFormat="1" ht="15" x14ac:dyDescent="0.25">
      <c r="A11" s="13" t="s">
        <v>153</v>
      </c>
      <c r="B11" s="22" t="s">
        <v>89</v>
      </c>
      <c r="C11" s="22" t="s">
        <v>29</v>
      </c>
      <c r="D11" s="13"/>
      <c r="E11" s="3" t="s">
        <v>150</v>
      </c>
      <c r="F11" s="15">
        <v>1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37">
        <f t="shared" ref="AL11:AL42" si="0">SUM(G11:AK11)+F11</f>
        <v>1</v>
      </c>
    </row>
    <row r="12" spans="1:43" customFormat="1" ht="15" x14ac:dyDescent="0.25">
      <c r="A12" s="13" t="s">
        <v>153</v>
      </c>
      <c r="B12" s="22" t="s">
        <v>90</v>
      </c>
      <c r="C12" s="22" t="s">
        <v>30</v>
      </c>
      <c r="D12" s="13"/>
      <c r="E12" s="3" t="s">
        <v>150</v>
      </c>
      <c r="F12" s="15">
        <v>0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37">
        <f t="shared" si="0"/>
        <v>0</v>
      </c>
    </row>
    <row r="13" spans="1:43" customFormat="1" ht="15" x14ac:dyDescent="0.25">
      <c r="A13" s="13" t="s">
        <v>146</v>
      </c>
      <c r="B13" s="22" t="s">
        <v>91</v>
      </c>
      <c r="C13" s="22" t="s">
        <v>31</v>
      </c>
      <c r="D13" s="13"/>
      <c r="E13" s="3" t="s">
        <v>150</v>
      </c>
      <c r="F13" s="15">
        <f>457+27</f>
        <v>484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37">
        <f t="shared" si="0"/>
        <v>484</v>
      </c>
    </row>
    <row r="14" spans="1:43" customFormat="1" ht="15" x14ac:dyDescent="0.25">
      <c r="A14" s="13" t="s">
        <v>146</v>
      </c>
      <c r="B14" s="22" t="s">
        <v>92</v>
      </c>
      <c r="C14" s="22" t="s">
        <v>32</v>
      </c>
      <c r="D14" s="13"/>
      <c r="E14" s="3" t="s">
        <v>150</v>
      </c>
      <c r="F14" s="15">
        <v>312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37">
        <f t="shared" si="0"/>
        <v>312</v>
      </c>
    </row>
    <row r="15" spans="1:43" customFormat="1" ht="15" x14ac:dyDescent="0.25">
      <c r="A15" s="13" t="s">
        <v>146</v>
      </c>
      <c r="B15" s="22" t="s">
        <v>93</v>
      </c>
      <c r="C15" s="22" t="s">
        <v>33</v>
      </c>
      <c r="D15" s="13"/>
      <c r="E15" s="3" t="s">
        <v>150</v>
      </c>
      <c r="F15" s="15">
        <v>0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>
        <v>-121</v>
      </c>
      <c r="AH15" s="14">
        <v>540</v>
      </c>
      <c r="AI15" s="13"/>
      <c r="AJ15" s="13">
        <v>-7</v>
      </c>
      <c r="AK15" s="13"/>
      <c r="AL15" s="37">
        <f t="shared" si="0"/>
        <v>412</v>
      </c>
    </row>
    <row r="16" spans="1:43" customFormat="1" ht="15" x14ac:dyDescent="0.25">
      <c r="A16" s="13" t="s">
        <v>146</v>
      </c>
      <c r="B16" s="22" t="s">
        <v>94</v>
      </c>
      <c r="C16" s="22" t="s">
        <v>34</v>
      </c>
      <c r="D16" s="13"/>
      <c r="E16" s="3" t="s">
        <v>150</v>
      </c>
      <c r="F16" s="15">
        <v>263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37">
        <f t="shared" si="0"/>
        <v>263</v>
      </c>
    </row>
    <row r="17" spans="1:38" customFormat="1" ht="15" x14ac:dyDescent="0.25">
      <c r="A17" s="13" t="s">
        <v>146</v>
      </c>
      <c r="B17" s="22" t="s">
        <v>95</v>
      </c>
      <c r="C17" s="22" t="s">
        <v>35</v>
      </c>
      <c r="D17" s="13"/>
      <c r="E17" s="3" t="s">
        <v>150</v>
      </c>
      <c r="F17" s="15">
        <v>213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37">
        <f t="shared" si="0"/>
        <v>213</v>
      </c>
    </row>
    <row r="18" spans="1:38" customFormat="1" ht="15" x14ac:dyDescent="0.25">
      <c r="A18" s="13" t="s">
        <v>146</v>
      </c>
      <c r="B18" s="22" t="s">
        <v>96</v>
      </c>
      <c r="C18" s="22" t="s">
        <v>36</v>
      </c>
      <c r="D18" s="13"/>
      <c r="E18" s="3" t="s">
        <v>150</v>
      </c>
      <c r="F18" s="15">
        <f>226-9</f>
        <v>217</v>
      </c>
      <c r="G18" s="13"/>
      <c r="H18" s="13"/>
      <c r="I18" s="13"/>
      <c r="J18" s="13"/>
      <c r="K18" s="13"/>
      <c r="L18" s="13">
        <v>-69</v>
      </c>
      <c r="M18" s="13"/>
      <c r="N18" s="13"/>
      <c r="O18" s="13"/>
      <c r="P18" s="13"/>
      <c r="Q18" s="13"/>
      <c r="R18" s="13"/>
      <c r="S18" s="13">
        <v>-12</v>
      </c>
      <c r="T18" s="13"/>
      <c r="U18" s="13"/>
      <c r="V18" s="13"/>
      <c r="W18" s="13"/>
      <c r="X18" s="13"/>
      <c r="Y18" s="13"/>
      <c r="Z18" s="13"/>
      <c r="AA18" s="13"/>
      <c r="AB18" s="13">
        <v>-12</v>
      </c>
      <c r="AC18" s="13">
        <v>-20</v>
      </c>
      <c r="AD18" s="13"/>
      <c r="AE18" s="13"/>
      <c r="AF18" s="13"/>
      <c r="AG18" s="13"/>
      <c r="AH18" s="13"/>
      <c r="AI18" s="13"/>
      <c r="AJ18" s="13"/>
      <c r="AK18" s="13"/>
      <c r="AL18" s="37">
        <f t="shared" si="0"/>
        <v>104</v>
      </c>
    </row>
    <row r="19" spans="1:38" customFormat="1" ht="15" x14ac:dyDescent="0.25">
      <c r="A19" s="13" t="s">
        <v>146</v>
      </c>
      <c r="B19" s="22" t="s">
        <v>97</v>
      </c>
      <c r="C19" s="22" t="s">
        <v>37</v>
      </c>
      <c r="D19" s="13"/>
      <c r="E19" s="3" t="s">
        <v>150</v>
      </c>
      <c r="F19" s="15">
        <v>19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37">
        <f t="shared" si="0"/>
        <v>19</v>
      </c>
    </row>
    <row r="20" spans="1:38" customFormat="1" ht="15" x14ac:dyDescent="0.25">
      <c r="A20" s="13"/>
      <c r="B20" s="22" t="s">
        <v>98</v>
      </c>
      <c r="C20" s="22" t="s">
        <v>38</v>
      </c>
      <c r="D20" s="13"/>
      <c r="E20" s="3" t="s">
        <v>150</v>
      </c>
      <c r="F20" s="15">
        <v>505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37">
        <f t="shared" si="0"/>
        <v>505</v>
      </c>
    </row>
    <row r="21" spans="1:38" customFormat="1" ht="15" x14ac:dyDescent="0.25">
      <c r="A21" s="13" t="s">
        <v>146</v>
      </c>
      <c r="B21" s="22" t="s">
        <v>99</v>
      </c>
      <c r="C21" s="22" t="s">
        <v>39</v>
      </c>
      <c r="D21" s="13"/>
      <c r="E21" s="3" t="s">
        <v>150</v>
      </c>
      <c r="F21" s="15">
        <v>323</v>
      </c>
      <c r="G21" s="13"/>
      <c r="H21" s="13">
        <v>-12</v>
      </c>
      <c r="I21" s="13"/>
      <c r="J21" s="13"/>
      <c r="K21" s="13"/>
      <c r="L21" s="13">
        <v>-37</v>
      </c>
      <c r="M21" s="13"/>
      <c r="N21" s="13"/>
      <c r="O21" s="13"/>
      <c r="P21" s="13"/>
      <c r="Q21" s="13"/>
      <c r="R21" s="13"/>
      <c r="S21" s="13">
        <v>-12</v>
      </c>
      <c r="T21" s="13"/>
      <c r="U21" s="13"/>
      <c r="V21" s="13">
        <v>-14</v>
      </c>
      <c r="W21" s="13"/>
      <c r="X21" s="13"/>
      <c r="Y21" s="13"/>
      <c r="Z21" s="13"/>
      <c r="AA21" s="13"/>
      <c r="AB21" s="13">
        <v>-13</v>
      </c>
      <c r="AC21" s="13">
        <v>-20</v>
      </c>
      <c r="AD21" s="13"/>
      <c r="AE21" s="13"/>
      <c r="AF21" s="13"/>
      <c r="AG21" s="13"/>
      <c r="AH21" s="13"/>
      <c r="AI21" s="13"/>
      <c r="AJ21" s="13">
        <v>-7</v>
      </c>
      <c r="AK21" s="13"/>
      <c r="AL21" s="37">
        <f t="shared" si="0"/>
        <v>208</v>
      </c>
    </row>
    <row r="22" spans="1:38" customFormat="1" ht="15" x14ac:dyDescent="0.25">
      <c r="A22" s="13" t="s">
        <v>146</v>
      </c>
      <c r="B22" s="22" t="s">
        <v>100</v>
      </c>
      <c r="C22" s="22" t="s">
        <v>40</v>
      </c>
      <c r="D22" s="13"/>
      <c r="E22" s="3" t="s">
        <v>150</v>
      </c>
      <c r="F22" s="15">
        <v>22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37">
        <f t="shared" si="0"/>
        <v>22</v>
      </c>
    </row>
    <row r="23" spans="1:38" customFormat="1" ht="15" x14ac:dyDescent="0.25">
      <c r="A23" s="13"/>
      <c r="B23" s="22" t="s">
        <v>101</v>
      </c>
      <c r="C23" s="22" t="s">
        <v>41</v>
      </c>
      <c r="D23" s="13"/>
      <c r="E23" s="3" t="s">
        <v>150</v>
      </c>
      <c r="F23" s="15">
        <v>107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37">
        <f t="shared" si="0"/>
        <v>107</v>
      </c>
    </row>
    <row r="24" spans="1:38" customFormat="1" ht="15" x14ac:dyDescent="0.25">
      <c r="A24" s="13" t="s">
        <v>147</v>
      </c>
      <c r="B24" s="22" t="s">
        <v>102</v>
      </c>
      <c r="C24" s="22" t="s">
        <v>44</v>
      </c>
      <c r="D24" s="13"/>
      <c r="E24" s="3" t="s">
        <v>150</v>
      </c>
      <c r="F24" s="15">
        <v>48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37">
        <f t="shared" si="0"/>
        <v>48</v>
      </c>
    </row>
    <row r="25" spans="1:38" customFormat="1" ht="15" x14ac:dyDescent="0.25">
      <c r="A25" s="13" t="s">
        <v>147</v>
      </c>
      <c r="B25" s="22" t="s">
        <v>103</v>
      </c>
      <c r="C25" s="22" t="s">
        <v>45</v>
      </c>
      <c r="D25" s="13"/>
      <c r="E25" s="3" t="s">
        <v>150</v>
      </c>
      <c r="F25" s="15">
        <v>18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37">
        <f t="shared" si="0"/>
        <v>18</v>
      </c>
    </row>
    <row r="26" spans="1:38" customFormat="1" ht="15" x14ac:dyDescent="0.25">
      <c r="A26" s="13" t="s">
        <v>147</v>
      </c>
      <c r="B26" s="22" t="s">
        <v>104</v>
      </c>
      <c r="C26" s="22" t="s">
        <v>46</v>
      </c>
      <c r="D26" s="13"/>
      <c r="E26" s="3" t="s">
        <v>150</v>
      </c>
      <c r="F26" s="15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37">
        <f t="shared" si="0"/>
        <v>0</v>
      </c>
    </row>
    <row r="27" spans="1:38" customFormat="1" ht="15" x14ac:dyDescent="0.25">
      <c r="A27" s="13" t="s">
        <v>147</v>
      </c>
      <c r="B27" s="22" t="s">
        <v>105</v>
      </c>
      <c r="C27" s="22" t="s">
        <v>47</v>
      </c>
      <c r="D27" s="13"/>
      <c r="E27" s="3" t="s">
        <v>150</v>
      </c>
      <c r="F27" s="15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37">
        <f t="shared" si="0"/>
        <v>0</v>
      </c>
    </row>
    <row r="28" spans="1:38" customFormat="1" ht="15" x14ac:dyDescent="0.25">
      <c r="A28" s="13" t="s">
        <v>147</v>
      </c>
      <c r="B28" s="22" t="s">
        <v>106</v>
      </c>
      <c r="C28" s="22" t="s">
        <v>48</v>
      </c>
      <c r="D28" s="13"/>
      <c r="E28" s="3" t="s">
        <v>150</v>
      </c>
      <c r="F28" s="15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37">
        <f t="shared" si="0"/>
        <v>0</v>
      </c>
    </row>
    <row r="29" spans="1:38" customFormat="1" ht="15" x14ac:dyDescent="0.25">
      <c r="A29" s="13" t="s">
        <v>147</v>
      </c>
      <c r="B29" s="22" t="s">
        <v>107</v>
      </c>
      <c r="C29" s="22" t="s">
        <v>49</v>
      </c>
      <c r="D29" s="13"/>
      <c r="E29" s="3" t="s">
        <v>150</v>
      </c>
      <c r="F29" s="15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37">
        <f t="shared" si="0"/>
        <v>0</v>
      </c>
    </row>
    <row r="30" spans="1:38" customFormat="1" ht="15" x14ac:dyDescent="0.25">
      <c r="A30" s="13" t="s">
        <v>148</v>
      </c>
      <c r="B30" s="22" t="s">
        <v>108</v>
      </c>
      <c r="C30" s="22" t="s">
        <v>50</v>
      </c>
      <c r="D30" s="13"/>
      <c r="E30" s="3" t="s">
        <v>150</v>
      </c>
      <c r="F30" s="15">
        <v>8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37">
        <f t="shared" si="0"/>
        <v>8</v>
      </c>
    </row>
    <row r="31" spans="1:38" customFormat="1" ht="15" x14ac:dyDescent="0.25">
      <c r="A31" s="13" t="s">
        <v>148</v>
      </c>
      <c r="B31" s="22" t="s">
        <v>109</v>
      </c>
      <c r="C31" s="22" t="s">
        <v>51</v>
      </c>
      <c r="D31" s="13"/>
      <c r="E31" s="3" t="s">
        <v>150</v>
      </c>
      <c r="F31" s="15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37">
        <f t="shared" si="0"/>
        <v>0</v>
      </c>
    </row>
    <row r="32" spans="1:38" customFormat="1" ht="15" x14ac:dyDescent="0.25">
      <c r="A32" s="13" t="s">
        <v>148</v>
      </c>
      <c r="B32" s="22" t="s">
        <v>110</v>
      </c>
      <c r="C32" s="22" t="s">
        <v>52</v>
      </c>
      <c r="D32" s="13"/>
      <c r="E32" s="3" t="s">
        <v>150</v>
      </c>
      <c r="F32" s="15">
        <v>2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37">
        <f t="shared" si="0"/>
        <v>2</v>
      </c>
    </row>
    <row r="33" spans="1:38" customFormat="1" ht="15" x14ac:dyDescent="0.25">
      <c r="A33" s="13" t="s">
        <v>148</v>
      </c>
      <c r="B33" s="22" t="s">
        <v>111</v>
      </c>
      <c r="C33" s="22" t="s">
        <v>53</v>
      </c>
      <c r="D33" s="13"/>
      <c r="E33" s="3" t="s">
        <v>150</v>
      </c>
      <c r="F33" s="15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37">
        <f t="shared" si="0"/>
        <v>0</v>
      </c>
    </row>
    <row r="34" spans="1:38" customFormat="1" ht="15" x14ac:dyDescent="0.25">
      <c r="A34" s="13" t="s">
        <v>148</v>
      </c>
      <c r="B34" s="22" t="s">
        <v>112</v>
      </c>
      <c r="C34" s="22" t="s">
        <v>54</v>
      </c>
      <c r="D34" s="13"/>
      <c r="E34" s="3" t="s">
        <v>150</v>
      </c>
      <c r="F34" s="15">
        <v>4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37">
        <f t="shared" si="0"/>
        <v>4</v>
      </c>
    </row>
    <row r="35" spans="1:38" customFormat="1" ht="15" x14ac:dyDescent="0.25">
      <c r="A35" s="13" t="s">
        <v>148</v>
      </c>
      <c r="B35" s="22" t="s">
        <v>113</v>
      </c>
      <c r="C35" s="22" t="s">
        <v>55</v>
      </c>
      <c r="D35" s="13"/>
      <c r="E35" s="3" t="s">
        <v>150</v>
      </c>
      <c r="F35" s="15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37">
        <f t="shared" si="0"/>
        <v>0</v>
      </c>
    </row>
    <row r="36" spans="1:38" customFormat="1" ht="15" x14ac:dyDescent="0.25">
      <c r="A36" s="13" t="s">
        <v>148</v>
      </c>
      <c r="B36" s="22" t="s">
        <v>114</v>
      </c>
      <c r="C36" s="22" t="s">
        <v>56</v>
      </c>
      <c r="D36" s="13"/>
      <c r="E36" s="3" t="s">
        <v>150</v>
      </c>
      <c r="F36" s="15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37">
        <f t="shared" si="0"/>
        <v>0</v>
      </c>
    </row>
    <row r="37" spans="1:38" customFormat="1" ht="15" x14ac:dyDescent="0.25">
      <c r="A37" s="13" t="s">
        <v>148</v>
      </c>
      <c r="B37" s="22" t="s">
        <v>115</v>
      </c>
      <c r="C37" s="22" t="s">
        <v>57</v>
      </c>
      <c r="D37" s="13"/>
      <c r="E37" s="3" t="s">
        <v>150</v>
      </c>
      <c r="F37" s="15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37">
        <f t="shared" si="0"/>
        <v>0</v>
      </c>
    </row>
    <row r="38" spans="1:38" customFormat="1" ht="15" x14ac:dyDescent="0.25">
      <c r="A38" s="13" t="s">
        <v>148</v>
      </c>
      <c r="B38" s="22" t="s">
        <v>116</v>
      </c>
      <c r="C38" s="22" t="s">
        <v>58</v>
      </c>
      <c r="D38" s="13"/>
      <c r="E38" s="3" t="s">
        <v>150</v>
      </c>
      <c r="F38" s="15">
        <v>118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>
        <v>-10</v>
      </c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37">
        <f t="shared" si="0"/>
        <v>108</v>
      </c>
    </row>
    <row r="39" spans="1:38" customFormat="1" ht="15" x14ac:dyDescent="0.25">
      <c r="A39" s="13" t="s">
        <v>148</v>
      </c>
      <c r="B39" s="22" t="s">
        <v>117</v>
      </c>
      <c r="C39" s="22" t="s">
        <v>59</v>
      </c>
      <c r="D39" s="13"/>
      <c r="E39" s="3" t="s">
        <v>150</v>
      </c>
      <c r="F39" s="15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37">
        <f t="shared" si="0"/>
        <v>0</v>
      </c>
    </row>
    <row r="40" spans="1:38" customFormat="1" ht="15" x14ac:dyDescent="0.25">
      <c r="A40" s="13" t="s">
        <v>148</v>
      </c>
      <c r="B40" s="22" t="s">
        <v>118</v>
      </c>
      <c r="C40" s="22" t="s">
        <v>60</v>
      </c>
      <c r="D40" s="13"/>
      <c r="E40" s="3" t="s">
        <v>150</v>
      </c>
      <c r="F40" s="15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37">
        <f t="shared" si="0"/>
        <v>0</v>
      </c>
    </row>
    <row r="41" spans="1:38" customFormat="1" ht="15" x14ac:dyDescent="0.25">
      <c r="A41" s="13" t="s">
        <v>148</v>
      </c>
      <c r="B41" s="22" t="s">
        <v>119</v>
      </c>
      <c r="C41" s="22" t="s">
        <v>61</v>
      </c>
      <c r="D41" s="13"/>
      <c r="E41" s="3" t="s">
        <v>150</v>
      </c>
      <c r="F41" s="15">
        <v>1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37">
        <f t="shared" si="0"/>
        <v>1</v>
      </c>
    </row>
    <row r="42" spans="1:38" customFormat="1" ht="15" x14ac:dyDescent="0.25">
      <c r="A42" s="13" t="s">
        <v>148</v>
      </c>
      <c r="B42" s="22" t="s">
        <v>120</v>
      </c>
      <c r="C42" s="22" t="s">
        <v>62</v>
      </c>
      <c r="D42" s="13"/>
      <c r="E42" s="3" t="s">
        <v>150</v>
      </c>
      <c r="F42" s="15">
        <v>222</v>
      </c>
      <c r="G42" s="13"/>
      <c r="H42" s="13"/>
      <c r="I42" s="13"/>
      <c r="J42" s="13">
        <v>-4</v>
      </c>
      <c r="K42" s="13"/>
      <c r="L42" s="13"/>
      <c r="M42" s="13"/>
      <c r="N42" s="13"/>
      <c r="O42" s="13"/>
      <c r="P42" s="13"/>
      <c r="Q42" s="13"/>
      <c r="R42" s="13">
        <v>-73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37">
        <f t="shared" si="0"/>
        <v>145</v>
      </c>
    </row>
    <row r="43" spans="1:38" customFormat="1" ht="15" x14ac:dyDescent="0.25">
      <c r="A43" s="13" t="s">
        <v>146</v>
      </c>
      <c r="B43" s="22" t="s">
        <v>90</v>
      </c>
      <c r="C43" s="22" t="s">
        <v>63</v>
      </c>
      <c r="D43" s="13"/>
      <c r="E43" s="3" t="s">
        <v>150</v>
      </c>
      <c r="F43" s="15">
        <v>32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37">
        <f t="shared" ref="AL43:AL69" si="1">SUM(G43:AK43)+F43</f>
        <v>32</v>
      </c>
    </row>
    <row r="44" spans="1:38" customFormat="1" ht="15" x14ac:dyDescent="0.25">
      <c r="A44" s="13" t="s">
        <v>146</v>
      </c>
      <c r="B44" s="22" t="s">
        <v>121</v>
      </c>
      <c r="C44" s="22" t="s">
        <v>64</v>
      </c>
      <c r="D44" s="13"/>
      <c r="E44" s="3" t="s">
        <v>150</v>
      </c>
      <c r="F44" s="15">
        <v>18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37">
        <f t="shared" si="1"/>
        <v>18</v>
      </c>
    </row>
    <row r="45" spans="1:38" customFormat="1" ht="15" x14ac:dyDescent="0.25">
      <c r="A45" s="13" t="s">
        <v>146</v>
      </c>
      <c r="B45" s="22" t="s">
        <v>122</v>
      </c>
      <c r="C45" s="22" t="s">
        <v>65</v>
      </c>
      <c r="D45" s="13"/>
      <c r="E45" s="3" t="s">
        <v>150</v>
      </c>
      <c r="F45" s="15">
        <v>18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37">
        <f t="shared" si="1"/>
        <v>18</v>
      </c>
    </row>
    <row r="46" spans="1:38" customFormat="1" ht="15" x14ac:dyDescent="0.25">
      <c r="A46" s="13"/>
      <c r="B46" s="22" t="s">
        <v>123</v>
      </c>
      <c r="C46" s="22" t="s">
        <v>66</v>
      </c>
      <c r="D46" s="13"/>
      <c r="E46" s="3" t="s">
        <v>150</v>
      </c>
      <c r="F46" s="15">
        <v>24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37">
        <f t="shared" si="1"/>
        <v>24</v>
      </c>
    </row>
    <row r="47" spans="1:38" customFormat="1" ht="15" x14ac:dyDescent="0.25">
      <c r="A47" s="13"/>
      <c r="B47" s="22" t="s">
        <v>124</v>
      </c>
      <c r="C47" s="22" t="s">
        <v>67</v>
      </c>
      <c r="D47" s="13"/>
      <c r="E47" s="3" t="s">
        <v>150</v>
      </c>
      <c r="F47" s="15">
        <v>19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37">
        <f t="shared" si="1"/>
        <v>19</v>
      </c>
    </row>
    <row r="48" spans="1:38" customFormat="1" ht="15" x14ac:dyDescent="0.25">
      <c r="A48" s="13"/>
      <c r="B48" s="22" t="s">
        <v>125</v>
      </c>
      <c r="C48" s="22" t="s">
        <v>68</v>
      </c>
      <c r="D48" s="13"/>
      <c r="E48" s="3" t="s">
        <v>150</v>
      </c>
      <c r="F48" s="15">
        <v>17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37">
        <f t="shared" si="1"/>
        <v>17</v>
      </c>
    </row>
    <row r="49" spans="1:38" customFormat="1" ht="15" x14ac:dyDescent="0.25">
      <c r="A49" s="13" t="s">
        <v>146</v>
      </c>
      <c r="B49" s="22" t="s">
        <v>126</v>
      </c>
      <c r="C49" s="22" t="s">
        <v>69</v>
      </c>
      <c r="D49" s="13"/>
      <c r="E49" s="3" t="s">
        <v>150</v>
      </c>
      <c r="F49" s="15">
        <v>54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37">
        <f t="shared" si="1"/>
        <v>54</v>
      </c>
    </row>
    <row r="50" spans="1:38" customFormat="1" ht="15" x14ac:dyDescent="0.25">
      <c r="A50" s="13"/>
      <c r="B50" s="22" t="s">
        <v>127</v>
      </c>
      <c r="C50" s="22" t="s">
        <v>70</v>
      </c>
      <c r="D50" s="13"/>
      <c r="E50" s="3" t="s">
        <v>150</v>
      </c>
      <c r="F50" s="15">
        <v>5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37">
        <f t="shared" si="1"/>
        <v>5</v>
      </c>
    </row>
    <row r="51" spans="1:38" customFormat="1" ht="15" x14ac:dyDescent="0.25">
      <c r="A51" s="13"/>
      <c r="B51" s="22" t="s">
        <v>128</v>
      </c>
      <c r="C51" s="22" t="s">
        <v>71</v>
      </c>
      <c r="D51" s="13"/>
      <c r="E51" s="3" t="s">
        <v>150</v>
      </c>
      <c r="F51" s="15">
        <v>64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37">
        <f t="shared" si="1"/>
        <v>64</v>
      </c>
    </row>
    <row r="52" spans="1:38" customFormat="1" ht="15" x14ac:dyDescent="0.25">
      <c r="A52" s="13"/>
      <c r="B52" s="22" t="s">
        <v>129</v>
      </c>
      <c r="C52" s="22" t="s">
        <v>72</v>
      </c>
      <c r="D52" s="13"/>
      <c r="E52" s="3" t="s">
        <v>150</v>
      </c>
      <c r="F52" s="15">
        <v>52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37">
        <f t="shared" si="1"/>
        <v>52</v>
      </c>
    </row>
    <row r="53" spans="1:38" customFormat="1" ht="15" x14ac:dyDescent="0.25">
      <c r="A53" s="13" t="s">
        <v>146</v>
      </c>
      <c r="B53" s="22" t="s">
        <v>130</v>
      </c>
      <c r="C53" s="22" t="s">
        <v>73</v>
      </c>
      <c r="D53" s="13"/>
      <c r="E53" s="3" t="s">
        <v>150</v>
      </c>
      <c r="F53" s="15">
        <v>424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37">
        <f t="shared" si="1"/>
        <v>424</v>
      </c>
    </row>
    <row r="54" spans="1:38" customFormat="1" ht="15" x14ac:dyDescent="0.25">
      <c r="A54" s="13" t="s">
        <v>146</v>
      </c>
      <c r="B54" s="22" t="s">
        <v>131</v>
      </c>
      <c r="C54" s="22" t="s">
        <v>74</v>
      </c>
      <c r="D54" s="13"/>
      <c r="E54" s="3" t="s">
        <v>150</v>
      </c>
      <c r="F54" s="15">
        <v>160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37">
        <f t="shared" si="1"/>
        <v>160</v>
      </c>
    </row>
    <row r="55" spans="1:38" customFormat="1" ht="15" x14ac:dyDescent="0.25">
      <c r="A55" s="13" t="s">
        <v>146</v>
      </c>
      <c r="B55" s="22" t="s">
        <v>132</v>
      </c>
      <c r="C55" s="22" t="s">
        <v>75</v>
      </c>
      <c r="D55" s="13"/>
      <c r="E55" s="3" t="s">
        <v>150</v>
      </c>
      <c r="F55" s="15">
        <v>216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37">
        <f t="shared" si="1"/>
        <v>216</v>
      </c>
    </row>
    <row r="56" spans="1:38" customFormat="1" ht="15" x14ac:dyDescent="0.25">
      <c r="A56" s="13"/>
      <c r="B56" s="22" t="s">
        <v>133</v>
      </c>
      <c r="C56" s="22" t="s">
        <v>76</v>
      </c>
      <c r="D56" s="13"/>
      <c r="E56" s="3" t="s">
        <v>150</v>
      </c>
      <c r="F56" s="15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37">
        <f t="shared" si="1"/>
        <v>0</v>
      </c>
    </row>
    <row r="57" spans="1:38" customFormat="1" ht="15" x14ac:dyDescent="0.25">
      <c r="A57" s="13"/>
      <c r="B57" s="22" t="s">
        <v>134</v>
      </c>
      <c r="C57" s="22" t="s">
        <v>77</v>
      </c>
      <c r="D57" s="13"/>
      <c r="E57" s="3" t="s">
        <v>150</v>
      </c>
      <c r="F57" s="15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37">
        <f t="shared" si="1"/>
        <v>0</v>
      </c>
    </row>
    <row r="58" spans="1:38" customFormat="1" ht="15" x14ac:dyDescent="0.25">
      <c r="A58" s="13" t="s">
        <v>146</v>
      </c>
      <c r="B58" s="22" t="s">
        <v>135</v>
      </c>
      <c r="C58" s="22" t="s">
        <v>78</v>
      </c>
      <c r="D58" s="13"/>
      <c r="E58" s="3" t="s">
        <v>150</v>
      </c>
      <c r="F58" s="15">
        <v>15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37">
        <f t="shared" si="1"/>
        <v>15</v>
      </c>
    </row>
    <row r="59" spans="1:38" customFormat="1" ht="15" x14ac:dyDescent="0.25">
      <c r="A59" s="13" t="s">
        <v>146</v>
      </c>
      <c r="B59" s="22" t="s">
        <v>136</v>
      </c>
      <c r="C59" s="22" t="s">
        <v>79</v>
      </c>
      <c r="D59" s="13"/>
      <c r="E59" s="3" t="s">
        <v>150</v>
      </c>
      <c r="F59" s="15">
        <v>24</v>
      </c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37">
        <f t="shared" si="1"/>
        <v>24</v>
      </c>
    </row>
    <row r="60" spans="1:38" customFormat="1" ht="15" x14ac:dyDescent="0.25">
      <c r="A60" s="13" t="s">
        <v>146</v>
      </c>
      <c r="B60" s="22" t="s">
        <v>137</v>
      </c>
      <c r="C60" s="22" t="s">
        <v>80</v>
      </c>
      <c r="D60" s="13"/>
      <c r="E60" s="3" t="s">
        <v>150</v>
      </c>
      <c r="F60" s="15">
        <v>16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37">
        <f t="shared" si="1"/>
        <v>16</v>
      </c>
    </row>
    <row r="61" spans="1:38" customFormat="1" ht="15" x14ac:dyDescent="0.25">
      <c r="A61" s="13"/>
      <c r="B61" s="22" t="s">
        <v>138</v>
      </c>
      <c r="C61" s="22" t="s">
        <v>81</v>
      </c>
      <c r="D61" s="13"/>
      <c r="E61" s="3" t="s">
        <v>150</v>
      </c>
      <c r="F61" s="15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37">
        <f t="shared" si="1"/>
        <v>0</v>
      </c>
    </row>
    <row r="62" spans="1:38" customFormat="1" ht="15" x14ac:dyDescent="0.25">
      <c r="A62" s="13" t="s">
        <v>146</v>
      </c>
      <c r="B62" s="22" t="s">
        <v>139</v>
      </c>
      <c r="C62" s="22" t="s">
        <v>82</v>
      </c>
      <c r="D62" s="13"/>
      <c r="E62" s="3" t="s">
        <v>150</v>
      </c>
      <c r="F62" s="15">
        <v>9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37">
        <f t="shared" si="1"/>
        <v>9</v>
      </c>
    </row>
    <row r="63" spans="1:38" customFormat="1" ht="15" x14ac:dyDescent="0.25">
      <c r="A63" s="13"/>
      <c r="B63" s="22" t="s">
        <v>140</v>
      </c>
      <c r="C63" s="22" t="s">
        <v>83</v>
      </c>
      <c r="D63" s="13"/>
      <c r="E63" s="3" t="s">
        <v>150</v>
      </c>
      <c r="F63" s="15">
        <v>3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37">
        <f t="shared" si="1"/>
        <v>3</v>
      </c>
    </row>
    <row r="64" spans="1:38" customFormat="1" ht="14.25" customHeight="1" x14ac:dyDescent="0.25">
      <c r="A64" s="13"/>
      <c r="B64" s="22" t="s">
        <v>141</v>
      </c>
      <c r="C64" s="22" t="s">
        <v>84</v>
      </c>
      <c r="D64" s="13"/>
      <c r="E64" s="3" t="s">
        <v>150</v>
      </c>
      <c r="F64" s="15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37">
        <f t="shared" si="1"/>
        <v>0</v>
      </c>
    </row>
    <row r="65" spans="1:38" customFormat="1" ht="15" x14ac:dyDescent="0.25">
      <c r="A65" s="13" t="s">
        <v>146</v>
      </c>
      <c r="B65" s="22" t="s">
        <v>142</v>
      </c>
      <c r="C65" s="22" t="s">
        <v>85</v>
      </c>
      <c r="D65" s="13"/>
      <c r="E65" s="3" t="s">
        <v>150</v>
      </c>
      <c r="F65" s="15">
        <v>117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37">
        <f t="shared" si="1"/>
        <v>117</v>
      </c>
    </row>
    <row r="66" spans="1:38" customFormat="1" ht="15" x14ac:dyDescent="0.25">
      <c r="A66" s="13" t="s">
        <v>146</v>
      </c>
      <c r="B66" s="22" t="s">
        <v>143</v>
      </c>
      <c r="C66" s="22" t="s">
        <v>86</v>
      </c>
      <c r="D66" s="13"/>
      <c r="E66" s="3" t="s">
        <v>150</v>
      </c>
      <c r="F66" s="15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4">
        <v>80</v>
      </c>
      <c r="AI66" s="13"/>
      <c r="AJ66" s="13"/>
      <c r="AK66" s="13"/>
      <c r="AL66" s="37">
        <f t="shared" si="1"/>
        <v>80</v>
      </c>
    </row>
    <row r="67" spans="1:38" customFormat="1" ht="15" x14ac:dyDescent="0.25">
      <c r="A67" s="13" t="s">
        <v>146</v>
      </c>
      <c r="B67" s="22" t="s">
        <v>144</v>
      </c>
      <c r="C67" s="22" t="s">
        <v>87</v>
      </c>
      <c r="D67" s="13"/>
      <c r="E67" s="3" t="s">
        <v>150</v>
      </c>
      <c r="F67" s="15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4">
        <v>40</v>
      </c>
      <c r="AI67" s="13"/>
      <c r="AJ67" s="13"/>
      <c r="AK67" s="13"/>
      <c r="AL67" s="37">
        <f t="shared" si="1"/>
        <v>40</v>
      </c>
    </row>
    <row r="68" spans="1:38" customFormat="1" ht="15" x14ac:dyDescent="0.25">
      <c r="A68" s="13" t="s">
        <v>146</v>
      </c>
      <c r="B68" s="22" t="s">
        <v>145</v>
      </c>
      <c r="C68" s="22" t="s">
        <v>88</v>
      </c>
      <c r="D68" s="13"/>
      <c r="E68" s="3" t="s">
        <v>150</v>
      </c>
      <c r="F68" s="15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4">
        <v>100</v>
      </c>
      <c r="AI68" s="13"/>
      <c r="AJ68" s="13"/>
      <c r="AK68" s="13"/>
      <c r="AL68" s="37">
        <f t="shared" si="1"/>
        <v>100</v>
      </c>
    </row>
    <row r="69" spans="1:38" customFormat="1" ht="15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37">
        <f t="shared" si="1"/>
        <v>0</v>
      </c>
    </row>
    <row r="70" spans="1:38" customFormat="1" ht="15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27"/>
    </row>
    <row r="71" spans="1:38" customFormat="1" ht="15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27"/>
    </row>
    <row r="72" spans="1:38" customFormat="1" ht="15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27"/>
    </row>
    <row r="73" spans="1:38" customFormat="1" ht="15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27"/>
    </row>
    <row r="74" spans="1:38" customFormat="1" ht="15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27"/>
    </row>
    <row r="75" spans="1:38" customFormat="1" ht="15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27"/>
    </row>
    <row r="76" spans="1:38" customFormat="1" ht="15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27">
        <f t="shared" ref="AL76:AL85" si="2">F76+SUM(G76:AK76)</f>
        <v>0</v>
      </c>
    </row>
    <row r="77" spans="1:38" customFormat="1" ht="15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27">
        <f t="shared" si="2"/>
        <v>0</v>
      </c>
    </row>
    <row r="78" spans="1:38" customFormat="1" ht="15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27">
        <f t="shared" si="2"/>
        <v>0</v>
      </c>
    </row>
    <row r="79" spans="1:38" customFormat="1" ht="15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27">
        <f t="shared" si="2"/>
        <v>0</v>
      </c>
    </row>
    <row r="80" spans="1:38" customFormat="1" ht="15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27">
        <f t="shared" si="2"/>
        <v>0</v>
      </c>
    </row>
    <row r="81" spans="1:38" customFormat="1" ht="15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27">
        <f t="shared" si="2"/>
        <v>0</v>
      </c>
    </row>
    <row r="82" spans="1:38" customFormat="1" ht="15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27">
        <f t="shared" si="2"/>
        <v>0</v>
      </c>
    </row>
    <row r="83" spans="1:38" customFormat="1" ht="15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27">
        <f t="shared" si="2"/>
        <v>0</v>
      </c>
    </row>
    <row r="84" spans="1:38" customFormat="1" ht="15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27">
        <f t="shared" si="2"/>
        <v>0</v>
      </c>
    </row>
    <row r="85" spans="1:38" customFormat="1" ht="15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27">
        <f t="shared" si="2"/>
        <v>0</v>
      </c>
    </row>
    <row r="86" spans="1:38" ht="12.75" customHeight="1" x14ac:dyDescent="0.2">
      <c r="A86" s="3"/>
      <c r="B86" s="30"/>
      <c r="C86" s="30"/>
      <c r="D86" s="30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8" x14ac:dyDescent="0.2">
      <c r="A87" s="3"/>
      <c r="B87" s="30"/>
      <c r="C87" s="30"/>
      <c r="D87" s="30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8" ht="79.5" customHeight="1" thickBot="1" x14ac:dyDescent="0.25">
      <c r="B88" s="9" t="s">
        <v>21</v>
      </c>
      <c r="C88" s="21"/>
      <c r="D88" s="21"/>
      <c r="E88" s="11" t="s">
        <v>22</v>
      </c>
      <c r="F88" s="24" t="s">
        <v>23</v>
      </c>
      <c r="G88" s="28" t="s">
        <v>24</v>
      </c>
      <c r="H88" s="29"/>
    </row>
    <row r="89" spans="1:38" ht="16.5" thickBot="1" x14ac:dyDescent="0.25">
      <c r="B89" s="9" t="s">
        <v>25</v>
      </c>
      <c r="C89" s="21"/>
      <c r="D89" s="21"/>
      <c r="E89" s="10"/>
      <c r="F89" s="23"/>
      <c r="G89" s="55"/>
      <c r="H89" s="56"/>
    </row>
    <row r="90" spans="1:38" ht="16.5" thickBot="1" x14ac:dyDescent="0.25">
      <c r="B90" s="9" t="s">
        <v>26</v>
      </c>
      <c r="C90" s="21"/>
      <c r="D90" s="21"/>
      <c r="E90" s="11"/>
      <c r="F90" s="24"/>
      <c r="G90" s="57"/>
      <c r="H90" s="58"/>
    </row>
    <row r="91" spans="1:38" ht="16.5" thickBot="1" x14ac:dyDescent="0.25">
      <c r="B91" s="9" t="s">
        <v>27</v>
      </c>
      <c r="C91" s="21"/>
      <c r="D91" s="21"/>
      <c r="E91" s="12"/>
      <c r="F91" s="25"/>
      <c r="G91" s="59"/>
      <c r="H91" s="60"/>
    </row>
    <row r="92" spans="1:38" ht="15.75" x14ac:dyDescent="0.2">
      <c r="B92" s="61" t="s">
        <v>28</v>
      </c>
      <c r="C92" s="19"/>
      <c r="D92" s="19"/>
      <c r="E92" s="64"/>
      <c r="F92" s="67"/>
      <c r="G92" s="70"/>
      <c r="H92" s="71"/>
    </row>
    <row r="93" spans="1:38" ht="15.75" x14ac:dyDescent="0.2">
      <c r="B93" s="62"/>
      <c r="C93" s="20"/>
      <c r="D93" s="20"/>
      <c r="E93" s="65"/>
      <c r="F93" s="68"/>
      <c r="G93" s="70"/>
      <c r="H93" s="71"/>
    </row>
    <row r="94" spans="1:38" ht="16.5" thickBot="1" x14ac:dyDescent="0.25">
      <c r="B94" s="63"/>
      <c r="C94" s="9"/>
      <c r="D94" s="9"/>
      <c r="E94" s="66"/>
      <c r="F94" s="69"/>
      <c r="G94" s="72"/>
      <c r="H94" s="73"/>
    </row>
  </sheetData>
  <mergeCells count="24"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G92:H94"/>
    <mergeCell ref="G89:H89"/>
    <mergeCell ref="G90:H90"/>
    <mergeCell ref="G91:H91"/>
    <mergeCell ref="B92:B94"/>
    <mergeCell ref="E92:E94"/>
    <mergeCell ref="F92:F94"/>
  </mergeCells>
  <conditionalFormatting sqref="AL11:AL85">
    <cfRule type="cellIs" dxfId="11" priority="4" operator="greaterThan">
      <formula>#REF!</formula>
    </cfRule>
    <cfRule type="cellIs" dxfId="10" priority="5" operator="between">
      <formula>11</formula>
      <formula>50</formula>
    </cfRule>
    <cfRule type="cellIs" dxfId="9" priority="6" operator="lessThan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DD10-0AC2-461A-BA2F-54E478B0327A}">
  <sheetPr codeName="Sheet2"/>
  <dimension ref="A1:AL132"/>
  <sheetViews>
    <sheetView workbookViewId="0">
      <pane xSplit="3" ySplit="10" topLeftCell="D62" activePane="bottomRight" state="frozen"/>
      <selection pane="topRight" activeCell="D1" sqref="D1"/>
      <selection pane="bottomLeft" activeCell="A11" sqref="A11"/>
      <selection pane="bottomRight" activeCell="Y14" sqref="Y14"/>
    </sheetView>
  </sheetViews>
  <sheetFormatPr defaultRowHeight="15" x14ac:dyDescent="0.25"/>
  <cols>
    <col min="2" max="2" width="12.140625" bestFit="1" customWidth="1"/>
    <col min="3" max="3" width="54.28515625" bestFit="1" customWidth="1"/>
    <col min="7" max="33" width="10.140625" bestFit="1" customWidth="1"/>
    <col min="34" max="34" width="10.140625" customWidth="1"/>
    <col min="35" max="35" width="13" customWidth="1"/>
  </cols>
  <sheetData>
    <row r="1" spans="1:38" ht="22.5" x14ac:dyDescent="0.25">
      <c r="E1" s="38" t="s">
        <v>42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spans="1:38" x14ac:dyDescent="0.25">
      <c r="E2" s="39" t="s">
        <v>43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1"/>
    </row>
    <row r="3" spans="1:38" ht="15.75" x14ac:dyDescent="0.25">
      <c r="E3" s="42" t="s">
        <v>0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38" x14ac:dyDescent="0.25">
      <c r="E4" s="43" t="s">
        <v>1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</row>
    <row r="5" spans="1:38" ht="15.75" x14ac:dyDescent="0.25">
      <c r="E5" s="44" t="s">
        <v>2</v>
      </c>
      <c r="F5" s="44"/>
      <c r="G5" s="44"/>
      <c r="H5" s="45" t="s">
        <v>3</v>
      </c>
      <c r="I5" s="46"/>
      <c r="J5" s="47"/>
      <c r="K5" s="48" t="s">
        <v>4</v>
      </c>
      <c r="L5" s="48"/>
      <c r="M5" s="13">
        <v>0</v>
      </c>
      <c r="N5" s="49" t="s">
        <v>5</v>
      </c>
      <c r="O5" s="49"/>
      <c r="P5" s="50"/>
      <c r="Q5" s="51"/>
    </row>
    <row r="6" spans="1:38" ht="15.75" x14ac:dyDescent="0.25">
      <c r="E6" s="44" t="s">
        <v>6</v>
      </c>
      <c r="F6" s="44"/>
      <c r="G6" s="44"/>
      <c r="H6" s="52" t="s">
        <v>7</v>
      </c>
      <c r="I6" s="52"/>
      <c r="J6" s="52"/>
      <c r="K6" s="48" t="s">
        <v>8</v>
      </c>
      <c r="L6" s="48"/>
      <c r="M6" s="53" t="s">
        <v>9</v>
      </c>
      <c r="N6" s="53"/>
      <c r="O6" s="53"/>
      <c r="P6" s="53"/>
      <c r="Q6" s="53"/>
    </row>
    <row r="7" spans="1:38" ht="15.75" x14ac:dyDescent="0.25">
      <c r="E7" s="48" t="s">
        <v>10</v>
      </c>
      <c r="F7" s="48"/>
      <c r="G7" s="48"/>
      <c r="H7" s="54"/>
      <c r="I7" s="54"/>
      <c r="J7" s="54"/>
      <c r="K7" s="48" t="s">
        <v>11</v>
      </c>
      <c r="L7" s="48"/>
      <c r="M7" s="53"/>
      <c r="N7" s="53"/>
      <c r="O7" s="53"/>
      <c r="P7" s="53"/>
      <c r="Q7" s="53"/>
    </row>
    <row r="9" spans="1:38" x14ac:dyDescent="0.25">
      <c r="A9" t="s">
        <v>12</v>
      </c>
    </row>
    <row r="10" spans="1:38" ht="26.25" x14ac:dyDescent="0.25">
      <c r="A10" s="26" t="s">
        <v>13</v>
      </c>
      <c r="B10" s="6" t="s">
        <v>14</v>
      </c>
      <c r="C10" s="6" t="s">
        <v>15</v>
      </c>
      <c r="D10" s="6" t="s">
        <v>16</v>
      </c>
      <c r="E10" s="7" t="s">
        <v>17</v>
      </c>
      <c r="F10" s="15" t="s">
        <v>151</v>
      </c>
      <c r="G10" s="16">
        <v>46054</v>
      </c>
      <c r="H10" s="16">
        <v>46055</v>
      </c>
      <c r="I10" s="16">
        <v>46056</v>
      </c>
      <c r="J10" s="16">
        <v>46057</v>
      </c>
      <c r="K10" s="16">
        <v>46058</v>
      </c>
      <c r="L10" s="16">
        <v>46059</v>
      </c>
      <c r="M10" s="16">
        <v>46060</v>
      </c>
      <c r="N10" s="16">
        <v>46061</v>
      </c>
      <c r="O10" s="16">
        <v>46062</v>
      </c>
      <c r="P10" s="16">
        <v>46063</v>
      </c>
      <c r="Q10" s="16">
        <v>46064</v>
      </c>
      <c r="R10" s="16">
        <v>46065</v>
      </c>
      <c r="S10" s="16">
        <v>46066</v>
      </c>
      <c r="T10" s="16">
        <v>46067</v>
      </c>
      <c r="U10" s="16">
        <v>46068</v>
      </c>
      <c r="V10" s="16">
        <v>46069</v>
      </c>
      <c r="W10" s="16">
        <v>46070</v>
      </c>
      <c r="X10" s="16">
        <v>46071</v>
      </c>
      <c r="Y10" s="16">
        <v>46072</v>
      </c>
      <c r="Z10" s="16">
        <v>46073</v>
      </c>
      <c r="AA10" s="16">
        <v>46074</v>
      </c>
      <c r="AB10" s="16">
        <v>46075</v>
      </c>
      <c r="AC10" s="16">
        <v>46076</v>
      </c>
      <c r="AD10" s="16">
        <v>46077</v>
      </c>
      <c r="AE10" s="16">
        <v>46078</v>
      </c>
      <c r="AF10" s="16">
        <v>46079</v>
      </c>
      <c r="AG10" s="16">
        <v>46080</v>
      </c>
      <c r="AH10" s="16">
        <v>46081</v>
      </c>
      <c r="AI10" s="31" t="s">
        <v>152</v>
      </c>
      <c r="AJ10" s="5" t="s">
        <v>18</v>
      </c>
      <c r="AK10" s="5" t="s">
        <v>19</v>
      </c>
      <c r="AL10" s="5" t="s">
        <v>20</v>
      </c>
    </row>
    <row r="11" spans="1:38" x14ac:dyDescent="0.25">
      <c r="A11" s="13" t="s">
        <v>149</v>
      </c>
      <c r="B11" s="22" t="s">
        <v>89</v>
      </c>
      <c r="C11" s="22" t="s">
        <v>29</v>
      </c>
      <c r="D11" s="13"/>
      <c r="E11" s="3" t="s">
        <v>150</v>
      </c>
      <c r="F11" s="15">
        <f>'Jan 2026'!AL11</f>
        <v>1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34">
        <f>F11+SUM(G11:AH11)</f>
        <v>1</v>
      </c>
    </row>
    <row r="12" spans="1:38" x14ac:dyDescent="0.25">
      <c r="A12" s="13" t="s">
        <v>149</v>
      </c>
      <c r="B12" s="22" t="s">
        <v>90</v>
      </c>
      <c r="C12" s="22" t="s">
        <v>30</v>
      </c>
      <c r="D12" s="13"/>
      <c r="E12" s="3" t="s">
        <v>150</v>
      </c>
      <c r="F12" s="15">
        <f>'Jan 2026'!AL12</f>
        <v>0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34">
        <f t="shared" ref="AI12:AI75" si="0">F12+SUM(G12:AH12)</f>
        <v>0</v>
      </c>
    </row>
    <row r="13" spans="1:38" x14ac:dyDescent="0.25">
      <c r="A13" s="13" t="s">
        <v>146</v>
      </c>
      <c r="B13" s="22" t="s">
        <v>91</v>
      </c>
      <c r="C13" s="22" t="s">
        <v>31</v>
      </c>
      <c r="D13" s="13"/>
      <c r="E13" s="3" t="s">
        <v>150</v>
      </c>
      <c r="F13" s="15">
        <f>'Jan 2026'!AL13</f>
        <v>484</v>
      </c>
      <c r="G13" s="13"/>
      <c r="H13" s="13"/>
      <c r="I13" s="13"/>
      <c r="J13" s="13"/>
      <c r="K13" s="13">
        <v>-25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>
        <v>-1</v>
      </c>
      <c r="Z13" s="13"/>
      <c r="AA13" s="13">
        <v>-1</v>
      </c>
      <c r="AB13" s="13"/>
      <c r="AC13" s="13"/>
      <c r="AD13" s="13"/>
      <c r="AE13" s="13"/>
      <c r="AF13" s="13"/>
      <c r="AG13" s="13"/>
      <c r="AH13" s="13"/>
      <c r="AI13" s="34">
        <f t="shared" si="0"/>
        <v>457</v>
      </c>
    </row>
    <row r="14" spans="1:38" x14ac:dyDescent="0.25">
      <c r="A14" s="13" t="s">
        <v>146</v>
      </c>
      <c r="B14" s="22" t="s">
        <v>92</v>
      </c>
      <c r="C14" s="22" t="s">
        <v>32</v>
      </c>
      <c r="D14" s="13"/>
      <c r="E14" s="3" t="s">
        <v>150</v>
      </c>
      <c r="F14" s="15">
        <f>'Jan 2026'!AL14</f>
        <v>312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34">
        <f t="shared" si="0"/>
        <v>312</v>
      </c>
    </row>
    <row r="15" spans="1:38" x14ac:dyDescent="0.25">
      <c r="A15" s="13" t="s">
        <v>146</v>
      </c>
      <c r="B15" s="22" t="s">
        <v>93</v>
      </c>
      <c r="C15" s="22" t="s">
        <v>33</v>
      </c>
      <c r="D15" s="13"/>
      <c r="E15" s="3" t="s">
        <v>150</v>
      </c>
      <c r="F15" s="15">
        <f>'Jan 2026'!AL15</f>
        <v>412</v>
      </c>
      <c r="G15" s="13"/>
      <c r="H15" s="13">
        <f>-6</f>
        <v>-6</v>
      </c>
      <c r="I15" s="13">
        <v>-396</v>
      </c>
      <c r="J15" s="13"/>
      <c r="K15" s="13">
        <v>-9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34">
        <f t="shared" si="0"/>
        <v>1</v>
      </c>
    </row>
    <row r="16" spans="1:38" x14ac:dyDescent="0.25">
      <c r="A16" s="13" t="s">
        <v>146</v>
      </c>
      <c r="B16" s="22" t="s">
        <v>94</v>
      </c>
      <c r="C16" s="22" t="s">
        <v>34</v>
      </c>
      <c r="D16" s="13"/>
      <c r="E16" s="3" t="s">
        <v>150</v>
      </c>
      <c r="F16" s="15">
        <f>'Jan 2026'!AL16</f>
        <v>263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34">
        <f t="shared" si="0"/>
        <v>263</v>
      </c>
    </row>
    <row r="17" spans="1:35" x14ac:dyDescent="0.25">
      <c r="A17" s="13" t="s">
        <v>146</v>
      </c>
      <c r="B17" s="22" t="s">
        <v>95</v>
      </c>
      <c r="C17" s="22" t="s">
        <v>35</v>
      </c>
      <c r="D17" s="13"/>
      <c r="E17" s="3" t="s">
        <v>150</v>
      </c>
      <c r="F17" s="15">
        <f>'Jan 2026'!AL17</f>
        <v>213</v>
      </c>
      <c r="G17" s="13"/>
      <c r="H17" s="13"/>
      <c r="I17" s="13"/>
      <c r="J17" s="13">
        <v>-2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34">
        <f t="shared" si="0"/>
        <v>211</v>
      </c>
    </row>
    <row r="18" spans="1:35" x14ac:dyDescent="0.25">
      <c r="A18" s="13" t="s">
        <v>146</v>
      </c>
      <c r="B18" s="22" t="s">
        <v>96</v>
      </c>
      <c r="C18" s="22" t="s">
        <v>36</v>
      </c>
      <c r="D18" s="13"/>
      <c r="E18" s="3" t="s">
        <v>150</v>
      </c>
      <c r="F18" s="15">
        <f>'Jan 2026'!AL18</f>
        <v>104</v>
      </c>
      <c r="G18" s="13"/>
      <c r="H18" s="13"/>
      <c r="I18" s="13"/>
      <c r="J18" s="13">
        <v>-8</v>
      </c>
      <c r="K18" s="13"/>
      <c r="L18" s="13"/>
      <c r="M18" s="13"/>
      <c r="N18" s="13"/>
      <c r="O18" s="13"/>
      <c r="P18" s="13"/>
      <c r="Q18" s="13"/>
      <c r="R18" s="13"/>
      <c r="S18" s="13">
        <v>-15</v>
      </c>
      <c r="T18" s="13"/>
      <c r="U18" s="13"/>
      <c r="V18" s="13"/>
      <c r="W18" s="13"/>
      <c r="X18" s="13"/>
      <c r="Y18" s="13"/>
      <c r="Z18" s="13">
        <v>-12</v>
      </c>
      <c r="AA18" s="13"/>
      <c r="AB18" s="13"/>
      <c r="AC18" s="13"/>
      <c r="AD18" s="13">
        <v>-22</v>
      </c>
      <c r="AE18" s="13"/>
      <c r="AF18" s="13"/>
      <c r="AG18" s="13"/>
      <c r="AH18" s="13"/>
      <c r="AI18" s="34">
        <f t="shared" si="0"/>
        <v>47</v>
      </c>
    </row>
    <row r="19" spans="1:35" x14ac:dyDescent="0.25">
      <c r="A19" s="13" t="s">
        <v>146</v>
      </c>
      <c r="B19" s="22" t="s">
        <v>97</v>
      </c>
      <c r="C19" s="22" t="s">
        <v>37</v>
      </c>
      <c r="D19" s="13"/>
      <c r="E19" s="3" t="s">
        <v>150</v>
      </c>
      <c r="F19" s="15">
        <f>'Jan 2026'!AL19</f>
        <v>19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34">
        <f t="shared" si="0"/>
        <v>19</v>
      </c>
    </row>
    <row r="20" spans="1:35" x14ac:dyDescent="0.25">
      <c r="A20" s="13"/>
      <c r="B20" s="22" t="s">
        <v>98</v>
      </c>
      <c r="C20" s="22" t="s">
        <v>38</v>
      </c>
      <c r="D20" s="13"/>
      <c r="E20" s="3" t="s">
        <v>150</v>
      </c>
      <c r="F20" s="15">
        <f>'Jan 2026'!AL20</f>
        <v>505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34">
        <f t="shared" si="0"/>
        <v>505</v>
      </c>
    </row>
    <row r="21" spans="1:35" x14ac:dyDescent="0.25">
      <c r="A21" s="13" t="s">
        <v>146</v>
      </c>
      <c r="B21" s="22" t="s">
        <v>99</v>
      </c>
      <c r="C21" s="22" t="s">
        <v>39</v>
      </c>
      <c r="D21" s="13"/>
      <c r="E21" s="3" t="s">
        <v>150</v>
      </c>
      <c r="F21" s="15">
        <f>'Jan 2026'!AL21</f>
        <v>208</v>
      </c>
      <c r="G21" s="13"/>
      <c r="H21" s="13"/>
      <c r="I21" s="13"/>
      <c r="J21" s="13">
        <v>-8</v>
      </c>
      <c r="K21" s="13">
        <f>-6+-9</f>
        <v>-15</v>
      </c>
      <c r="L21" s="13">
        <v>-10</v>
      </c>
      <c r="M21" s="13"/>
      <c r="N21" s="13"/>
      <c r="O21" s="13"/>
      <c r="P21" s="13"/>
      <c r="Q21" s="13"/>
      <c r="R21" s="13"/>
      <c r="S21" s="13">
        <v>-15</v>
      </c>
      <c r="T21" s="13"/>
      <c r="U21" s="13"/>
      <c r="V21" s="13"/>
      <c r="W21" s="13"/>
      <c r="X21" s="13"/>
      <c r="Y21" s="13"/>
      <c r="Z21" s="13">
        <f>-22+-12</f>
        <v>-34</v>
      </c>
      <c r="AA21" s="13"/>
      <c r="AB21" s="13"/>
      <c r="AC21" s="13"/>
      <c r="AD21" s="13">
        <v>-22</v>
      </c>
      <c r="AE21" s="13"/>
      <c r="AF21" s="13"/>
      <c r="AG21" s="13"/>
      <c r="AH21" s="13"/>
      <c r="AI21" s="34">
        <f t="shared" si="0"/>
        <v>104</v>
      </c>
    </row>
    <row r="22" spans="1:35" x14ac:dyDescent="0.25">
      <c r="A22" s="13" t="s">
        <v>146</v>
      </c>
      <c r="B22" s="22" t="s">
        <v>100</v>
      </c>
      <c r="C22" s="22" t="s">
        <v>40</v>
      </c>
      <c r="D22" s="13"/>
      <c r="E22" s="3" t="s">
        <v>150</v>
      </c>
      <c r="F22" s="15">
        <f>'Jan 2026'!AL22</f>
        <v>22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34">
        <f t="shared" si="0"/>
        <v>22</v>
      </c>
    </row>
    <row r="23" spans="1:35" x14ac:dyDescent="0.25">
      <c r="A23" s="13"/>
      <c r="B23" s="22" t="s">
        <v>101</v>
      </c>
      <c r="C23" s="22" t="s">
        <v>41</v>
      </c>
      <c r="D23" s="13"/>
      <c r="E23" s="3" t="s">
        <v>150</v>
      </c>
      <c r="F23" s="15">
        <f>'Jan 2026'!AL23</f>
        <v>107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34">
        <f t="shared" si="0"/>
        <v>107</v>
      </c>
    </row>
    <row r="24" spans="1:35" x14ac:dyDescent="0.25">
      <c r="A24" s="13" t="s">
        <v>147</v>
      </c>
      <c r="B24" s="22" t="s">
        <v>102</v>
      </c>
      <c r="C24" s="22" t="s">
        <v>44</v>
      </c>
      <c r="D24" s="13"/>
      <c r="E24" s="3" t="s">
        <v>150</v>
      </c>
      <c r="F24" s="15">
        <f>'Jan 2026'!AL24</f>
        <v>48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34">
        <f t="shared" si="0"/>
        <v>48</v>
      </c>
    </row>
    <row r="25" spans="1:35" x14ac:dyDescent="0.25">
      <c r="A25" s="13" t="s">
        <v>147</v>
      </c>
      <c r="B25" s="22" t="s">
        <v>103</v>
      </c>
      <c r="C25" s="22" t="s">
        <v>45</v>
      </c>
      <c r="D25" s="13"/>
      <c r="E25" s="3" t="s">
        <v>150</v>
      </c>
      <c r="F25" s="15">
        <f>'Jan 2026'!AL25</f>
        <v>18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34">
        <f t="shared" si="0"/>
        <v>18</v>
      </c>
    </row>
    <row r="26" spans="1:35" x14ac:dyDescent="0.25">
      <c r="A26" s="13" t="s">
        <v>147</v>
      </c>
      <c r="B26" s="22" t="s">
        <v>104</v>
      </c>
      <c r="C26" s="22" t="s">
        <v>46</v>
      </c>
      <c r="D26" s="13"/>
      <c r="E26" s="3" t="s">
        <v>150</v>
      </c>
      <c r="F26" s="15">
        <f>'Jan 2026'!AL26</f>
        <v>0</v>
      </c>
      <c r="G26" s="13"/>
      <c r="H26" s="13"/>
      <c r="I26" s="13"/>
      <c r="J26" s="13"/>
      <c r="K26" s="14">
        <v>396</v>
      </c>
      <c r="L26" s="13"/>
      <c r="M26" s="13"/>
      <c r="N26" s="13"/>
      <c r="O26" s="13"/>
      <c r="P26" s="13"/>
      <c r="Q26" s="13"/>
      <c r="R26" s="13"/>
      <c r="S26" s="13">
        <v>-31</v>
      </c>
      <c r="T26" s="13"/>
      <c r="U26" s="13"/>
      <c r="V26" s="13"/>
      <c r="W26" s="13"/>
      <c r="X26" s="13"/>
      <c r="Y26" s="13">
        <v>-21</v>
      </c>
      <c r="Z26" s="13">
        <v>-18</v>
      </c>
      <c r="AA26" s="13"/>
      <c r="AB26" s="13"/>
      <c r="AC26" s="13">
        <v>-36</v>
      </c>
      <c r="AD26" s="13">
        <v>-22</v>
      </c>
      <c r="AE26" s="13"/>
      <c r="AF26" s="13"/>
      <c r="AG26" s="13">
        <v>-87</v>
      </c>
      <c r="AH26" s="13">
        <v>8</v>
      </c>
      <c r="AI26" s="34">
        <f>F26+SUM(G26:AH26)</f>
        <v>189</v>
      </c>
    </row>
    <row r="27" spans="1:35" x14ac:dyDescent="0.25">
      <c r="A27" s="13" t="s">
        <v>147</v>
      </c>
      <c r="B27" s="22" t="s">
        <v>105</v>
      </c>
      <c r="C27" s="22" t="s">
        <v>47</v>
      </c>
      <c r="D27" s="13"/>
      <c r="E27" s="3" t="s">
        <v>150</v>
      </c>
      <c r="F27" s="15">
        <f>'Jan 2026'!AL27</f>
        <v>0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34">
        <f t="shared" si="0"/>
        <v>0</v>
      </c>
    </row>
    <row r="28" spans="1:35" x14ac:dyDescent="0.25">
      <c r="A28" s="13" t="s">
        <v>147</v>
      </c>
      <c r="B28" s="22" t="s">
        <v>106</v>
      </c>
      <c r="C28" s="22" t="s">
        <v>48</v>
      </c>
      <c r="D28" s="13"/>
      <c r="E28" s="3" t="s">
        <v>150</v>
      </c>
      <c r="F28" s="15">
        <f>'Jan 2026'!AL28</f>
        <v>0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34">
        <f t="shared" si="0"/>
        <v>0</v>
      </c>
    </row>
    <row r="29" spans="1:35" x14ac:dyDescent="0.25">
      <c r="A29" s="13" t="s">
        <v>147</v>
      </c>
      <c r="B29" s="22" t="s">
        <v>107</v>
      </c>
      <c r="C29" s="22" t="s">
        <v>49</v>
      </c>
      <c r="D29" s="13"/>
      <c r="E29" s="3" t="s">
        <v>150</v>
      </c>
      <c r="F29" s="15">
        <f>'Jan 2026'!AL29</f>
        <v>0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34">
        <f t="shared" si="0"/>
        <v>0</v>
      </c>
    </row>
    <row r="30" spans="1:35" x14ac:dyDescent="0.25">
      <c r="A30" s="13" t="s">
        <v>148</v>
      </c>
      <c r="B30" s="22" t="s">
        <v>108</v>
      </c>
      <c r="C30" s="22" t="s">
        <v>50</v>
      </c>
      <c r="D30" s="13"/>
      <c r="E30" s="3" t="s">
        <v>150</v>
      </c>
      <c r="F30" s="15">
        <f>'Jan 2026'!AL30</f>
        <v>8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34">
        <f t="shared" si="0"/>
        <v>8</v>
      </c>
    </row>
    <row r="31" spans="1:35" x14ac:dyDescent="0.25">
      <c r="A31" s="13" t="s">
        <v>148</v>
      </c>
      <c r="B31" s="22" t="s">
        <v>109</v>
      </c>
      <c r="C31" s="22" t="s">
        <v>51</v>
      </c>
      <c r="D31" s="13"/>
      <c r="E31" s="3" t="s">
        <v>150</v>
      </c>
      <c r="F31" s="15">
        <f>'Jan 2026'!AL31</f>
        <v>0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34">
        <f t="shared" si="0"/>
        <v>0</v>
      </c>
    </row>
    <row r="32" spans="1:35" x14ac:dyDescent="0.25">
      <c r="A32" s="13" t="s">
        <v>148</v>
      </c>
      <c r="B32" s="22" t="s">
        <v>110</v>
      </c>
      <c r="C32" s="22" t="s">
        <v>52</v>
      </c>
      <c r="D32" s="13"/>
      <c r="E32" s="3" t="s">
        <v>150</v>
      </c>
      <c r="F32" s="15">
        <f>'Jan 2026'!AL32</f>
        <v>2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34">
        <f t="shared" si="0"/>
        <v>2</v>
      </c>
    </row>
    <row r="33" spans="1:35" x14ac:dyDescent="0.25">
      <c r="A33" s="13" t="s">
        <v>148</v>
      </c>
      <c r="B33" s="22" t="s">
        <v>111</v>
      </c>
      <c r="C33" s="22" t="s">
        <v>53</v>
      </c>
      <c r="D33" s="13"/>
      <c r="E33" s="3" t="s">
        <v>150</v>
      </c>
      <c r="F33" s="15">
        <f>'Jan 2026'!AL33</f>
        <v>0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34">
        <f t="shared" si="0"/>
        <v>0</v>
      </c>
    </row>
    <row r="34" spans="1:35" x14ac:dyDescent="0.25">
      <c r="A34" s="13" t="s">
        <v>148</v>
      </c>
      <c r="B34" s="22" t="s">
        <v>112</v>
      </c>
      <c r="C34" s="22" t="s">
        <v>54</v>
      </c>
      <c r="D34" s="13"/>
      <c r="E34" s="3" t="s">
        <v>150</v>
      </c>
      <c r="F34" s="15">
        <f>'Jan 2026'!AL34</f>
        <v>4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34">
        <f t="shared" si="0"/>
        <v>4</v>
      </c>
    </row>
    <row r="35" spans="1:35" x14ac:dyDescent="0.25">
      <c r="A35" s="13" t="s">
        <v>148</v>
      </c>
      <c r="B35" s="22" t="s">
        <v>113</v>
      </c>
      <c r="C35" s="22" t="s">
        <v>55</v>
      </c>
      <c r="D35" s="13"/>
      <c r="E35" s="3" t="s">
        <v>150</v>
      </c>
      <c r="F35" s="15">
        <f>'Jan 2026'!AL35</f>
        <v>0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34">
        <f t="shared" si="0"/>
        <v>0</v>
      </c>
    </row>
    <row r="36" spans="1:35" x14ac:dyDescent="0.25">
      <c r="A36" s="13" t="s">
        <v>148</v>
      </c>
      <c r="B36" s="22" t="s">
        <v>114</v>
      </c>
      <c r="C36" s="22" t="s">
        <v>56</v>
      </c>
      <c r="D36" s="13"/>
      <c r="E36" s="3" t="s">
        <v>150</v>
      </c>
      <c r="F36" s="15">
        <f>'Jan 2026'!AL36</f>
        <v>0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34">
        <f t="shared" si="0"/>
        <v>0</v>
      </c>
    </row>
    <row r="37" spans="1:35" x14ac:dyDescent="0.25">
      <c r="A37" s="13" t="s">
        <v>148</v>
      </c>
      <c r="B37" s="22" t="s">
        <v>115</v>
      </c>
      <c r="C37" s="22" t="s">
        <v>57</v>
      </c>
      <c r="D37" s="13"/>
      <c r="E37" s="3" t="s">
        <v>150</v>
      </c>
      <c r="F37" s="15">
        <f>'Jan 2026'!AL37</f>
        <v>0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34">
        <f t="shared" si="0"/>
        <v>0</v>
      </c>
    </row>
    <row r="38" spans="1:35" x14ac:dyDescent="0.25">
      <c r="A38" s="13" t="s">
        <v>148</v>
      </c>
      <c r="B38" s="22" t="s">
        <v>116</v>
      </c>
      <c r="C38" s="22" t="s">
        <v>58</v>
      </c>
      <c r="D38" s="13"/>
      <c r="E38" s="3" t="s">
        <v>150</v>
      </c>
      <c r="F38" s="15">
        <f>'Jan 2026'!AL38</f>
        <v>108</v>
      </c>
      <c r="G38" s="13"/>
      <c r="H38" s="13"/>
      <c r="I38" s="13"/>
      <c r="J38" s="13"/>
      <c r="K38" s="13"/>
      <c r="L38" s="13">
        <v>-21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>
        <v>-12</v>
      </c>
      <c r="AA38" s="13"/>
      <c r="AB38" s="13"/>
      <c r="AC38" s="13"/>
      <c r="AD38" s="13"/>
      <c r="AE38" s="13"/>
      <c r="AF38" s="13"/>
      <c r="AG38" s="13"/>
      <c r="AH38" s="13"/>
      <c r="AI38" s="34">
        <f t="shared" si="0"/>
        <v>75</v>
      </c>
    </row>
    <row r="39" spans="1:35" x14ac:dyDescent="0.25">
      <c r="A39" s="13" t="s">
        <v>148</v>
      </c>
      <c r="B39" s="22" t="s">
        <v>117</v>
      </c>
      <c r="C39" s="22" t="s">
        <v>59</v>
      </c>
      <c r="D39" s="13"/>
      <c r="E39" s="3" t="s">
        <v>150</v>
      </c>
      <c r="F39" s="15">
        <f>'Jan 2026'!AL39</f>
        <v>0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AA39" s="13"/>
      <c r="AB39" s="13"/>
      <c r="AC39" s="13"/>
      <c r="AD39" s="13"/>
      <c r="AE39" s="13"/>
      <c r="AF39" s="13"/>
      <c r="AG39" s="13"/>
      <c r="AH39" s="13"/>
      <c r="AI39" s="34">
        <f t="shared" si="0"/>
        <v>0</v>
      </c>
    </row>
    <row r="40" spans="1:35" x14ac:dyDescent="0.25">
      <c r="A40" s="13" t="s">
        <v>148</v>
      </c>
      <c r="B40" s="22" t="s">
        <v>118</v>
      </c>
      <c r="C40" s="22" t="s">
        <v>60</v>
      </c>
      <c r="D40" s="13"/>
      <c r="E40" s="3" t="s">
        <v>150</v>
      </c>
      <c r="F40" s="15">
        <f>'Jan 2026'!AL40</f>
        <v>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34">
        <f t="shared" si="0"/>
        <v>0</v>
      </c>
    </row>
    <row r="41" spans="1:35" x14ac:dyDescent="0.25">
      <c r="A41" s="13" t="s">
        <v>148</v>
      </c>
      <c r="B41" s="22" t="s">
        <v>119</v>
      </c>
      <c r="C41" s="22" t="s">
        <v>61</v>
      </c>
      <c r="D41" s="13"/>
      <c r="E41" s="3" t="s">
        <v>150</v>
      </c>
      <c r="F41" s="15">
        <f>'Jan 2026'!AL41</f>
        <v>1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34">
        <f t="shared" si="0"/>
        <v>1</v>
      </c>
    </row>
    <row r="42" spans="1:35" x14ac:dyDescent="0.25">
      <c r="A42" s="13" t="s">
        <v>148</v>
      </c>
      <c r="B42" s="22" t="s">
        <v>120</v>
      </c>
      <c r="C42" s="22" t="s">
        <v>62</v>
      </c>
      <c r="D42" s="13"/>
      <c r="E42" s="3" t="s">
        <v>150</v>
      </c>
      <c r="F42" s="15">
        <f>'Jan 2026'!AL42</f>
        <v>145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>
        <v>-4</v>
      </c>
      <c r="AA42" s="13"/>
      <c r="AB42" s="13"/>
      <c r="AC42" s="13"/>
      <c r="AD42" s="13"/>
      <c r="AE42" s="13"/>
      <c r="AF42" s="13"/>
      <c r="AG42" s="13"/>
      <c r="AH42" s="13"/>
      <c r="AI42" s="34">
        <f t="shared" si="0"/>
        <v>141</v>
      </c>
    </row>
    <row r="43" spans="1:35" x14ac:dyDescent="0.25">
      <c r="A43" s="13" t="s">
        <v>146</v>
      </c>
      <c r="B43" s="22" t="s">
        <v>90</v>
      </c>
      <c r="C43" s="22" t="s">
        <v>63</v>
      </c>
      <c r="D43" s="13"/>
      <c r="E43" s="3" t="s">
        <v>150</v>
      </c>
      <c r="F43" s="15">
        <f>'Jan 2026'!AL43</f>
        <v>32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>
        <v>-1</v>
      </c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34">
        <f t="shared" si="0"/>
        <v>31</v>
      </c>
    </row>
    <row r="44" spans="1:35" x14ac:dyDescent="0.25">
      <c r="A44" s="13" t="s">
        <v>146</v>
      </c>
      <c r="B44" s="22" t="s">
        <v>121</v>
      </c>
      <c r="C44" s="22" t="s">
        <v>64</v>
      </c>
      <c r="D44" s="13"/>
      <c r="E44" s="3" t="s">
        <v>150</v>
      </c>
      <c r="F44" s="15">
        <f>'Jan 2026'!AL44</f>
        <v>18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34">
        <f t="shared" si="0"/>
        <v>18</v>
      </c>
    </row>
    <row r="45" spans="1:35" x14ac:dyDescent="0.25">
      <c r="A45" s="13" t="s">
        <v>146</v>
      </c>
      <c r="B45" s="22" t="s">
        <v>122</v>
      </c>
      <c r="C45" s="22" t="s">
        <v>65</v>
      </c>
      <c r="D45" s="13"/>
      <c r="E45" s="3" t="s">
        <v>150</v>
      </c>
      <c r="F45" s="15">
        <f>'Jan 2026'!AL45</f>
        <v>18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34">
        <f t="shared" si="0"/>
        <v>18</v>
      </c>
    </row>
    <row r="46" spans="1:35" x14ac:dyDescent="0.25">
      <c r="A46" s="13"/>
      <c r="B46" s="22" t="s">
        <v>123</v>
      </c>
      <c r="C46" s="22" t="s">
        <v>66</v>
      </c>
      <c r="D46" s="13"/>
      <c r="E46" s="3" t="s">
        <v>150</v>
      </c>
      <c r="F46" s="15">
        <f>'Jan 2026'!AL46</f>
        <v>24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34">
        <f t="shared" si="0"/>
        <v>24</v>
      </c>
    </row>
    <row r="47" spans="1:35" x14ac:dyDescent="0.25">
      <c r="A47" s="13"/>
      <c r="B47" s="22" t="s">
        <v>124</v>
      </c>
      <c r="C47" s="22" t="s">
        <v>67</v>
      </c>
      <c r="D47" s="13"/>
      <c r="E47" s="3" t="s">
        <v>150</v>
      </c>
      <c r="F47" s="15">
        <f>'Jan 2026'!AL47</f>
        <v>19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34">
        <f t="shared" si="0"/>
        <v>19</v>
      </c>
    </row>
    <row r="48" spans="1:35" x14ac:dyDescent="0.25">
      <c r="A48" s="13"/>
      <c r="B48" s="22" t="s">
        <v>125</v>
      </c>
      <c r="C48" s="22" t="s">
        <v>68</v>
      </c>
      <c r="D48" s="13"/>
      <c r="E48" s="3" t="s">
        <v>150</v>
      </c>
      <c r="F48" s="15">
        <f>'Jan 2026'!AL48</f>
        <v>17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34">
        <f t="shared" si="0"/>
        <v>17</v>
      </c>
    </row>
    <row r="49" spans="1:35" x14ac:dyDescent="0.25">
      <c r="A49" s="13" t="s">
        <v>146</v>
      </c>
      <c r="B49" s="22" t="s">
        <v>126</v>
      </c>
      <c r="C49" s="22" t="s">
        <v>69</v>
      </c>
      <c r="D49" s="13"/>
      <c r="E49" s="3" t="s">
        <v>150</v>
      </c>
      <c r="F49" s="15">
        <f>'Jan 2026'!AL49</f>
        <v>54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34">
        <f t="shared" si="0"/>
        <v>54</v>
      </c>
    </row>
    <row r="50" spans="1:35" x14ac:dyDescent="0.25">
      <c r="A50" s="13"/>
      <c r="B50" s="22" t="s">
        <v>127</v>
      </c>
      <c r="C50" s="22" t="s">
        <v>70</v>
      </c>
      <c r="D50" s="13"/>
      <c r="E50" s="3" t="s">
        <v>150</v>
      </c>
      <c r="F50" s="15">
        <f>'Jan 2026'!AL50</f>
        <v>5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34">
        <f t="shared" si="0"/>
        <v>5</v>
      </c>
    </row>
    <row r="51" spans="1:35" x14ac:dyDescent="0.25">
      <c r="A51" s="13"/>
      <c r="B51" s="22" t="s">
        <v>128</v>
      </c>
      <c r="C51" s="22" t="s">
        <v>71</v>
      </c>
      <c r="D51" s="13"/>
      <c r="E51" s="3" t="s">
        <v>150</v>
      </c>
      <c r="F51" s="15">
        <f>'Jan 2026'!AL51</f>
        <v>64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34">
        <f t="shared" si="0"/>
        <v>64</v>
      </c>
    </row>
    <row r="52" spans="1:35" x14ac:dyDescent="0.25">
      <c r="A52" s="13"/>
      <c r="B52" s="22" t="s">
        <v>129</v>
      </c>
      <c r="C52" s="22" t="s">
        <v>72</v>
      </c>
      <c r="D52" s="13"/>
      <c r="E52" s="3" t="s">
        <v>150</v>
      </c>
      <c r="F52" s="15">
        <f>'Jan 2026'!AL52</f>
        <v>52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34">
        <f t="shared" si="0"/>
        <v>52</v>
      </c>
    </row>
    <row r="53" spans="1:35" x14ac:dyDescent="0.25">
      <c r="A53" s="13" t="s">
        <v>146</v>
      </c>
      <c r="B53" s="22" t="s">
        <v>130</v>
      </c>
      <c r="C53" s="22" t="s">
        <v>73</v>
      </c>
      <c r="D53" s="13"/>
      <c r="E53" s="3" t="s">
        <v>150</v>
      </c>
      <c r="F53" s="15">
        <f>'Jan 2026'!AL53</f>
        <v>424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>
        <v>-424</v>
      </c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34">
        <f t="shared" si="0"/>
        <v>0</v>
      </c>
    </row>
    <row r="54" spans="1:35" x14ac:dyDescent="0.25">
      <c r="A54" s="13" t="s">
        <v>146</v>
      </c>
      <c r="B54" s="22" t="s">
        <v>131</v>
      </c>
      <c r="C54" s="22" t="s">
        <v>74</v>
      </c>
      <c r="D54" s="13"/>
      <c r="E54" s="3" t="s">
        <v>150</v>
      </c>
      <c r="F54" s="15">
        <f>'Jan 2026'!AL54</f>
        <v>160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34">
        <f t="shared" si="0"/>
        <v>160</v>
      </c>
    </row>
    <row r="55" spans="1:35" x14ac:dyDescent="0.25">
      <c r="A55" s="13" t="s">
        <v>146</v>
      </c>
      <c r="B55" s="22" t="s">
        <v>132</v>
      </c>
      <c r="C55" s="22" t="s">
        <v>75</v>
      </c>
      <c r="D55" s="13"/>
      <c r="E55" s="3" t="s">
        <v>150</v>
      </c>
      <c r="F55" s="15">
        <f>'Jan 2026'!AL55</f>
        <v>216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34">
        <f t="shared" si="0"/>
        <v>216</v>
      </c>
    </row>
    <row r="56" spans="1:35" x14ac:dyDescent="0.25">
      <c r="A56" s="13"/>
      <c r="B56" s="22" t="s">
        <v>133</v>
      </c>
      <c r="C56" s="22" t="s">
        <v>76</v>
      </c>
      <c r="D56" s="13"/>
      <c r="E56" s="3" t="s">
        <v>150</v>
      </c>
      <c r="F56" s="15">
        <f>'Jan 2026'!AL56</f>
        <v>0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34">
        <f t="shared" si="0"/>
        <v>0</v>
      </c>
    </row>
    <row r="57" spans="1:35" x14ac:dyDescent="0.25">
      <c r="A57" s="13"/>
      <c r="B57" s="22" t="s">
        <v>134</v>
      </c>
      <c r="C57" s="22" t="s">
        <v>77</v>
      </c>
      <c r="D57" s="13"/>
      <c r="E57" s="3" t="s">
        <v>150</v>
      </c>
      <c r="F57" s="15">
        <f>'Jan 2026'!AL57</f>
        <v>0</v>
      </c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34">
        <f t="shared" si="0"/>
        <v>0</v>
      </c>
    </row>
    <row r="58" spans="1:35" x14ac:dyDescent="0.25">
      <c r="A58" s="13" t="s">
        <v>146</v>
      </c>
      <c r="B58" s="22" t="s">
        <v>135</v>
      </c>
      <c r="C58" s="22" t="s">
        <v>78</v>
      </c>
      <c r="D58" s="13"/>
      <c r="E58" s="3" t="s">
        <v>150</v>
      </c>
      <c r="F58" s="15">
        <f>'Jan 2026'!AL58</f>
        <v>15</v>
      </c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34">
        <f t="shared" si="0"/>
        <v>15</v>
      </c>
    </row>
    <row r="59" spans="1:35" x14ac:dyDescent="0.25">
      <c r="A59" s="13" t="s">
        <v>146</v>
      </c>
      <c r="B59" s="22" t="s">
        <v>136</v>
      </c>
      <c r="C59" s="22" t="s">
        <v>79</v>
      </c>
      <c r="D59" s="13"/>
      <c r="E59" s="3" t="s">
        <v>150</v>
      </c>
      <c r="F59" s="15">
        <f>'Jan 2026'!AL59</f>
        <v>24</v>
      </c>
      <c r="G59" s="13"/>
      <c r="H59" s="13"/>
      <c r="I59" s="13"/>
      <c r="J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33">
        <v>424</v>
      </c>
      <c r="AA59" s="13">
        <v>-300</v>
      </c>
      <c r="AB59" s="13"/>
      <c r="AC59" s="13"/>
      <c r="AD59" s="13"/>
      <c r="AE59" s="13"/>
      <c r="AF59" s="13"/>
      <c r="AG59" s="13"/>
      <c r="AH59" s="13">
        <f>-69+-10</f>
        <v>-79</v>
      </c>
      <c r="AI59" s="34">
        <f t="shared" si="0"/>
        <v>69</v>
      </c>
    </row>
    <row r="60" spans="1:35" x14ac:dyDescent="0.25">
      <c r="A60" s="13" t="s">
        <v>146</v>
      </c>
      <c r="B60" s="22" t="s">
        <v>137</v>
      </c>
      <c r="C60" s="22" t="s">
        <v>80</v>
      </c>
      <c r="D60" s="13"/>
      <c r="E60" s="3" t="s">
        <v>150</v>
      </c>
      <c r="F60" s="15">
        <f>'Jan 2026'!AL60</f>
        <v>16</v>
      </c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34">
        <f t="shared" si="0"/>
        <v>16</v>
      </c>
    </row>
    <row r="61" spans="1:35" x14ac:dyDescent="0.25">
      <c r="A61" s="13"/>
      <c r="B61" s="22" t="s">
        <v>138</v>
      </c>
      <c r="C61" s="22" t="s">
        <v>81</v>
      </c>
      <c r="D61" s="13"/>
      <c r="E61" s="3" t="s">
        <v>150</v>
      </c>
      <c r="F61" s="15">
        <f>'Jan 2026'!AL61</f>
        <v>0</v>
      </c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34">
        <f t="shared" si="0"/>
        <v>0</v>
      </c>
    </row>
    <row r="62" spans="1:35" x14ac:dyDescent="0.25">
      <c r="A62" s="13" t="s">
        <v>146</v>
      </c>
      <c r="B62" s="22" t="s">
        <v>139</v>
      </c>
      <c r="C62" s="22" t="s">
        <v>82</v>
      </c>
      <c r="D62" s="13"/>
      <c r="E62" s="3" t="s">
        <v>150</v>
      </c>
      <c r="F62" s="15">
        <f>'Jan 2026'!AL62</f>
        <v>9</v>
      </c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34">
        <f t="shared" si="0"/>
        <v>9</v>
      </c>
    </row>
    <row r="63" spans="1:35" x14ac:dyDescent="0.25">
      <c r="A63" s="13"/>
      <c r="B63" s="22" t="s">
        <v>140</v>
      </c>
      <c r="C63" s="22" t="s">
        <v>83</v>
      </c>
      <c r="D63" s="13"/>
      <c r="E63" s="3" t="s">
        <v>150</v>
      </c>
      <c r="F63" s="15">
        <f>'Jan 2026'!AL63</f>
        <v>3</v>
      </c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34">
        <f t="shared" si="0"/>
        <v>3</v>
      </c>
    </row>
    <row r="64" spans="1:35" x14ac:dyDescent="0.25">
      <c r="A64" s="13"/>
      <c r="B64" s="22" t="s">
        <v>141</v>
      </c>
      <c r="C64" s="22" t="s">
        <v>84</v>
      </c>
      <c r="D64" s="13"/>
      <c r="E64" s="3" t="s">
        <v>150</v>
      </c>
      <c r="F64" s="15">
        <f>'Jan 2026'!AL64</f>
        <v>0</v>
      </c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34">
        <f t="shared" si="0"/>
        <v>0</v>
      </c>
    </row>
    <row r="65" spans="1:35" x14ac:dyDescent="0.25">
      <c r="A65" s="13" t="s">
        <v>146</v>
      </c>
      <c r="B65" s="22" t="s">
        <v>142</v>
      </c>
      <c r="C65" s="22" t="s">
        <v>85</v>
      </c>
      <c r="D65" s="13"/>
      <c r="E65" s="3" t="s">
        <v>150</v>
      </c>
      <c r="F65" s="15">
        <f>'Jan 2026'!AL65</f>
        <v>117</v>
      </c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34">
        <f t="shared" si="0"/>
        <v>117</v>
      </c>
    </row>
    <row r="66" spans="1:35" x14ac:dyDescent="0.25">
      <c r="A66" s="13" t="s">
        <v>146</v>
      </c>
      <c r="B66" s="22" t="s">
        <v>143</v>
      </c>
      <c r="C66" s="22" t="s">
        <v>86</v>
      </c>
      <c r="D66" s="13"/>
      <c r="E66" s="3" t="s">
        <v>150</v>
      </c>
      <c r="F66" s="15">
        <f>'Jan 2026'!AL66</f>
        <v>80</v>
      </c>
      <c r="G66" s="13"/>
      <c r="H66" s="13">
        <v>-25</v>
      </c>
      <c r="I66" s="13"/>
      <c r="J66" s="13"/>
      <c r="K66" s="13"/>
      <c r="L66" s="13"/>
      <c r="M66" s="13"/>
      <c r="N66" s="13"/>
      <c r="O66" s="13"/>
      <c r="P66" s="13"/>
      <c r="Q66" s="13">
        <v>-1</v>
      </c>
      <c r="R66" s="13"/>
      <c r="S66" s="13"/>
      <c r="T66" s="13"/>
      <c r="U66" s="13"/>
      <c r="V66" s="13">
        <v>-2</v>
      </c>
      <c r="W66" s="13"/>
      <c r="X66" s="13"/>
      <c r="Y66" s="13">
        <v>-1</v>
      </c>
      <c r="Z66" s="13"/>
      <c r="AA66" s="13"/>
      <c r="AB66" s="13"/>
      <c r="AC66" s="13"/>
      <c r="AD66" s="13"/>
      <c r="AE66" s="13"/>
      <c r="AF66" s="13"/>
      <c r="AG66" s="13"/>
      <c r="AH66" s="13"/>
      <c r="AI66" s="34">
        <f t="shared" si="0"/>
        <v>51</v>
      </c>
    </row>
    <row r="67" spans="1:35" x14ac:dyDescent="0.25">
      <c r="A67" s="13" t="s">
        <v>146</v>
      </c>
      <c r="B67" s="22" t="s">
        <v>144</v>
      </c>
      <c r="C67" s="22" t="s">
        <v>87</v>
      </c>
      <c r="D67" s="13"/>
      <c r="E67" s="3" t="s">
        <v>150</v>
      </c>
      <c r="F67" s="15">
        <f>'Jan 2026'!AL67</f>
        <v>40</v>
      </c>
      <c r="G67" s="13"/>
      <c r="H67" s="13"/>
      <c r="I67" s="13">
        <v>-7</v>
      </c>
      <c r="J67" s="13"/>
      <c r="K67" s="13"/>
      <c r="L67" s="13">
        <v>-1</v>
      </c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34">
        <f t="shared" si="0"/>
        <v>32</v>
      </c>
    </row>
    <row r="68" spans="1:35" x14ac:dyDescent="0.25">
      <c r="A68" s="13" t="s">
        <v>146</v>
      </c>
      <c r="B68" s="22" t="s">
        <v>145</v>
      </c>
      <c r="C68" s="22" t="s">
        <v>88</v>
      </c>
      <c r="D68" s="13"/>
      <c r="E68" s="3" t="s">
        <v>150</v>
      </c>
      <c r="F68" s="15">
        <f>'Jan 2026'!AL68</f>
        <v>100</v>
      </c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34">
        <f t="shared" si="0"/>
        <v>100</v>
      </c>
    </row>
    <row r="69" spans="1:35" x14ac:dyDescent="0.25">
      <c r="A69" s="13"/>
      <c r="B69" s="13"/>
      <c r="C69" s="13"/>
      <c r="D69" s="13"/>
      <c r="E69" s="13"/>
      <c r="F69" s="4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34">
        <f t="shared" si="0"/>
        <v>0</v>
      </c>
    </row>
    <row r="70" spans="1:35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8">
        <f t="shared" si="0"/>
        <v>0</v>
      </c>
    </row>
    <row r="71" spans="1:35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8">
        <f t="shared" si="0"/>
        <v>0</v>
      </c>
    </row>
    <row r="72" spans="1:35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8">
        <f t="shared" si="0"/>
        <v>0</v>
      </c>
    </row>
    <row r="73" spans="1:35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8">
        <f t="shared" si="0"/>
        <v>0</v>
      </c>
    </row>
    <row r="74" spans="1:35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8">
        <f t="shared" si="0"/>
        <v>0</v>
      </c>
    </row>
    <row r="75" spans="1:35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8">
        <f t="shared" si="0"/>
        <v>0</v>
      </c>
    </row>
    <row r="76" spans="1:35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8">
        <f t="shared" ref="AI76:AI87" si="1">F76+SUM(G76:AH76)</f>
        <v>0</v>
      </c>
    </row>
    <row r="77" spans="1:35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8">
        <f t="shared" si="1"/>
        <v>0</v>
      </c>
    </row>
    <row r="78" spans="1:35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8">
        <f t="shared" si="1"/>
        <v>0</v>
      </c>
    </row>
    <row r="79" spans="1:35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8">
        <f t="shared" si="1"/>
        <v>0</v>
      </c>
    </row>
    <row r="80" spans="1:35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8">
        <f t="shared" si="1"/>
        <v>0</v>
      </c>
    </row>
    <row r="81" spans="1:35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8">
        <f t="shared" si="1"/>
        <v>0</v>
      </c>
    </row>
    <row r="82" spans="1:35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8">
        <f t="shared" si="1"/>
        <v>0</v>
      </c>
    </row>
    <row r="83" spans="1:35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8">
        <f t="shared" si="1"/>
        <v>0</v>
      </c>
    </row>
    <row r="84" spans="1:35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8">
        <f t="shared" si="1"/>
        <v>0</v>
      </c>
    </row>
    <row r="85" spans="1:35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8">
        <f t="shared" si="1"/>
        <v>0</v>
      </c>
    </row>
    <row r="86" spans="1:35" x14ac:dyDescent="0.25">
      <c r="A86" s="3"/>
      <c r="B86" s="30"/>
      <c r="C86" s="30"/>
      <c r="D86" s="30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8">
        <f t="shared" si="1"/>
        <v>0</v>
      </c>
    </row>
    <row r="87" spans="1:35" x14ac:dyDescent="0.25">
      <c r="A87" s="3"/>
      <c r="B87" s="30"/>
      <c r="C87" s="30"/>
      <c r="D87" s="30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8">
        <f t="shared" si="1"/>
        <v>0</v>
      </c>
    </row>
    <row r="88" spans="1:35" ht="32.25" thickBot="1" x14ac:dyDescent="0.3">
      <c r="A88" s="1"/>
      <c r="B88" s="9" t="s">
        <v>21</v>
      </c>
      <c r="C88" s="21"/>
      <c r="D88" s="21"/>
      <c r="E88" s="11" t="s">
        <v>22</v>
      </c>
      <c r="F88" s="24" t="s">
        <v>23</v>
      </c>
      <c r="G88" s="28" t="s">
        <v>24</v>
      </c>
      <c r="H88" s="2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5" ht="16.5" thickBot="1" x14ac:dyDescent="0.3">
      <c r="A89" s="1"/>
      <c r="B89" s="9" t="s">
        <v>25</v>
      </c>
      <c r="C89" s="21"/>
      <c r="D89" s="21"/>
      <c r="E89" s="10"/>
      <c r="F89" s="23"/>
      <c r="G89" s="55"/>
      <c r="H89" s="5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5" ht="32.25" thickBot="1" x14ac:dyDescent="0.3">
      <c r="A90" s="1"/>
      <c r="B90" s="9" t="s">
        <v>26</v>
      </c>
      <c r="C90" s="21"/>
      <c r="D90" s="21"/>
      <c r="E90" s="11"/>
      <c r="F90" s="24"/>
      <c r="G90" s="57"/>
      <c r="H90" s="5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5" ht="16.5" thickBot="1" x14ac:dyDescent="0.3">
      <c r="A91" s="1"/>
      <c r="B91" s="9" t="s">
        <v>27</v>
      </c>
      <c r="C91" s="21"/>
      <c r="D91" s="21"/>
      <c r="E91" s="12"/>
      <c r="F91" s="25"/>
      <c r="G91" s="59"/>
      <c r="H91" s="60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5" ht="15.75" x14ac:dyDescent="0.25">
      <c r="A92" s="1"/>
      <c r="B92" s="61" t="s">
        <v>28</v>
      </c>
      <c r="C92" s="19"/>
      <c r="D92" s="19"/>
      <c r="E92" s="64"/>
      <c r="F92" s="67"/>
      <c r="G92" s="70"/>
      <c r="H92" s="7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5" ht="15.75" x14ac:dyDescent="0.25">
      <c r="A93" s="1"/>
      <c r="B93" s="62"/>
      <c r="C93" s="20"/>
      <c r="D93" s="20"/>
      <c r="E93" s="65"/>
      <c r="F93" s="68"/>
      <c r="G93" s="70"/>
      <c r="H93" s="7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5" ht="16.5" thickBot="1" x14ac:dyDescent="0.3">
      <c r="A94" s="1"/>
      <c r="B94" s="63"/>
      <c r="C94" s="9"/>
      <c r="D94" s="9"/>
      <c r="E94" s="66"/>
      <c r="F94" s="69"/>
      <c r="G94" s="72"/>
      <c r="H94" s="7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5" x14ac:dyDescent="0.25">
      <c r="A95" s="1"/>
      <c r="B95" s="2"/>
      <c r="C95" s="2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5" x14ac:dyDescent="0.25">
      <c r="A96" s="1"/>
      <c r="B96" s="2"/>
      <c r="C96" s="2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x14ac:dyDescent="0.25">
      <c r="A97" s="1"/>
      <c r="B97" s="2"/>
      <c r="C97" s="2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x14ac:dyDescent="0.25">
      <c r="A98" s="1"/>
      <c r="B98" s="2"/>
      <c r="C98" s="2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x14ac:dyDescent="0.25">
      <c r="A99" s="1"/>
      <c r="B99" s="2"/>
      <c r="C99" s="2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x14ac:dyDescent="0.25">
      <c r="A100" s="1"/>
      <c r="B100" s="2"/>
      <c r="C100" s="2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x14ac:dyDescent="0.25">
      <c r="A101" s="1"/>
      <c r="B101" s="2"/>
      <c r="C101" s="2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x14ac:dyDescent="0.25">
      <c r="A102" s="1"/>
      <c r="B102" s="2"/>
      <c r="C102" s="2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x14ac:dyDescent="0.25">
      <c r="A103" s="1"/>
      <c r="B103" s="2"/>
      <c r="C103" s="2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x14ac:dyDescent="0.25">
      <c r="A104" s="1"/>
      <c r="B104" s="2"/>
      <c r="C104" s="2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x14ac:dyDescent="0.25">
      <c r="A105" s="1"/>
      <c r="B105" s="2"/>
      <c r="C105" s="2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x14ac:dyDescent="0.25">
      <c r="A106" s="1"/>
      <c r="B106" s="2"/>
      <c r="C106" s="2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x14ac:dyDescent="0.25">
      <c r="A107" s="1"/>
      <c r="B107" s="2"/>
      <c r="C107" s="2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x14ac:dyDescent="0.25">
      <c r="A108" s="1"/>
      <c r="B108" s="2"/>
      <c r="C108" s="2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x14ac:dyDescent="0.25">
      <c r="A109" s="1"/>
      <c r="B109" s="2"/>
      <c r="C109" s="2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x14ac:dyDescent="0.25">
      <c r="A110" s="1"/>
      <c r="B110" s="2"/>
      <c r="C110" s="2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x14ac:dyDescent="0.25">
      <c r="A111" s="1"/>
      <c r="B111" s="2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x14ac:dyDescent="0.25">
      <c r="A112" s="1"/>
      <c r="B112" s="2"/>
      <c r="C112" s="2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x14ac:dyDescent="0.25">
      <c r="A113" s="1"/>
      <c r="B113" s="2"/>
      <c r="C113" s="2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x14ac:dyDescent="0.25">
      <c r="A114" s="1"/>
      <c r="B114" s="2"/>
      <c r="C114" s="2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x14ac:dyDescent="0.25">
      <c r="A115" s="1"/>
      <c r="B115" s="2"/>
      <c r="C115" s="2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x14ac:dyDescent="0.25">
      <c r="A116" s="1"/>
      <c r="B116" s="2"/>
      <c r="C116" s="2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x14ac:dyDescent="0.25">
      <c r="A117" s="1"/>
      <c r="B117" s="2"/>
      <c r="C117" s="2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x14ac:dyDescent="0.25">
      <c r="A118" s="1"/>
      <c r="B118" s="2"/>
      <c r="C118" s="2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x14ac:dyDescent="0.25">
      <c r="A119" s="1"/>
      <c r="B119" s="2"/>
      <c r="C119" s="2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x14ac:dyDescent="0.25">
      <c r="A120" s="1"/>
      <c r="B120" s="2"/>
      <c r="C120" s="2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x14ac:dyDescent="0.25">
      <c r="A121" s="1"/>
      <c r="B121" s="2"/>
      <c r="C121" s="2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x14ac:dyDescent="0.25">
      <c r="A122" s="1"/>
      <c r="B122" s="2"/>
      <c r="C122" s="2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x14ac:dyDescent="0.25">
      <c r="A123" s="1"/>
      <c r="B123" s="2"/>
      <c r="C123" s="2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x14ac:dyDescent="0.25">
      <c r="A124" s="1"/>
      <c r="B124" s="2"/>
      <c r="C124" s="2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x14ac:dyDescent="0.25">
      <c r="A125" s="1"/>
      <c r="B125" s="2"/>
      <c r="C125" s="2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x14ac:dyDescent="0.25">
      <c r="A126" s="1"/>
      <c r="B126" s="2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x14ac:dyDescent="0.25">
      <c r="A127" s="1"/>
      <c r="B127" s="2"/>
      <c r="C127" s="2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x14ac:dyDescent="0.25">
      <c r="A128" s="1"/>
      <c r="B128" s="2"/>
      <c r="C128" s="2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x14ac:dyDescent="0.25">
      <c r="A129" s="1"/>
      <c r="B129" s="2"/>
      <c r="C129" s="2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x14ac:dyDescent="0.25">
      <c r="A130" s="1"/>
      <c r="B130" s="2"/>
      <c r="C130" s="2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x14ac:dyDescent="0.25">
      <c r="A131" s="1"/>
      <c r="B131" s="2"/>
      <c r="C131" s="2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x14ac:dyDescent="0.25">
      <c r="A132" s="1"/>
      <c r="B132" s="2"/>
      <c r="C132" s="2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</sheetData>
  <autoFilter ref="A10:AL94" xr:uid="{0389DD10-0AC2-461A-BA2F-54E478B0327A}"/>
  <mergeCells count="24">
    <mergeCell ref="G89:H89"/>
    <mergeCell ref="G90:H90"/>
    <mergeCell ref="G91:H91"/>
    <mergeCell ref="B92:B94"/>
    <mergeCell ref="E92:E94"/>
    <mergeCell ref="F92:F94"/>
    <mergeCell ref="G92:H94"/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</mergeCells>
  <conditionalFormatting sqref="AI11:AI87">
    <cfRule type="cellIs" dxfId="8" priority="1" operator="greaterThan">
      <formula>#REF!</formula>
    </cfRule>
    <cfRule type="cellIs" dxfId="7" priority="2" operator="between">
      <formula>11</formula>
      <formula>50</formula>
    </cfRule>
    <cfRule type="cellIs" dxfId="6" priority="3" operator="lessThan">
      <formula>#REF!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6B5C8-8928-4548-B4D6-7C6473671AAC}">
  <sheetPr codeName="Sheet3"/>
  <dimension ref="A1:AQ94"/>
  <sheetViews>
    <sheetView workbookViewId="0">
      <pane xSplit="3" ySplit="10" topLeftCell="Z59" activePane="bottomRight" state="frozen"/>
      <selection pane="topRight" activeCell="D1" sqref="D1"/>
      <selection pane="bottomLeft" activeCell="A11" sqref="A11"/>
      <selection pane="bottomRight" activeCell="Z69" sqref="Z69"/>
    </sheetView>
  </sheetViews>
  <sheetFormatPr defaultColWidth="16.85546875" defaultRowHeight="12.75" customHeight="1" x14ac:dyDescent="0.2"/>
  <cols>
    <col min="1" max="1" width="8.85546875" style="1" customWidth="1"/>
    <col min="2" max="2" width="16.85546875" style="2"/>
    <col min="3" max="3" width="54.28515625" style="2" bestFit="1" customWidth="1"/>
    <col min="4" max="4" width="8.7109375" style="2" customWidth="1"/>
    <col min="5" max="37" width="8.7109375" style="1" customWidth="1"/>
    <col min="38" max="16384" width="16.85546875" style="1"/>
  </cols>
  <sheetData>
    <row r="1" spans="1:43" customFormat="1" ht="23.45" customHeight="1" x14ac:dyDescent="0.25">
      <c r="E1" s="38" t="s">
        <v>42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spans="1:43" customFormat="1" ht="15" x14ac:dyDescent="0.25">
      <c r="E2" s="39" t="s">
        <v>43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1"/>
    </row>
    <row r="3" spans="1:43" customFormat="1" ht="15.75" x14ac:dyDescent="0.25">
      <c r="E3" s="42" t="s">
        <v>0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43" customFormat="1" ht="15" x14ac:dyDescent="0.25">
      <c r="E4" s="43" t="s">
        <v>1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</row>
    <row r="5" spans="1:43" customFormat="1" ht="15.75" x14ac:dyDescent="0.25">
      <c r="E5" s="44" t="s">
        <v>2</v>
      </c>
      <c r="F5" s="44"/>
      <c r="G5" s="44"/>
      <c r="H5" s="45" t="s">
        <v>3</v>
      </c>
      <c r="I5" s="46"/>
      <c r="J5" s="47"/>
      <c r="K5" s="48" t="s">
        <v>4</v>
      </c>
      <c r="L5" s="48"/>
      <c r="M5" s="13">
        <v>0</v>
      </c>
      <c r="N5" s="49" t="s">
        <v>5</v>
      </c>
      <c r="O5" s="49"/>
      <c r="P5" s="50"/>
      <c r="Q5" s="51"/>
    </row>
    <row r="6" spans="1:43" customFormat="1" ht="15.75" x14ac:dyDescent="0.25">
      <c r="E6" s="44" t="s">
        <v>6</v>
      </c>
      <c r="F6" s="44"/>
      <c r="G6" s="44"/>
      <c r="H6" s="52" t="s">
        <v>7</v>
      </c>
      <c r="I6" s="52"/>
      <c r="J6" s="52"/>
      <c r="K6" s="48" t="s">
        <v>8</v>
      </c>
      <c r="L6" s="48"/>
      <c r="M6" s="53" t="s">
        <v>9</v>
      </c>
      <c r="N6" s="53"/>
      <c r="O6" s="53"/>
      <c r="P6" s="53"/>
      <c r="Q6" s="53"/>
    </row>
    <row r="7" spans="1:43" customFormat="1" ht="15.75" x14ac:dyDescent="0.25">
      <c r="E7" s="48" t="s">
        <v>10</v>
      </c>
      <c r="F7" s="48"/>
      <c r="G7" s="48"/>
      <c r="H7" s="54"/>
      <c r="I7" s="54"/>
      <c r="J7" s="54"/>
      <c r="K7" s="48" t="s">
        <v>11</v>
      </c>
      <c r="L7" s="48"/>
      <c r="M7" s="53"/>
      <c r="N7" s="53"/>
      <c r="O7" s="53"/>
      <c r="P7" s="53"/>
      <c r="Q7" s="53"/>
    </row>
    <row r="8" spans="1:43" customFormat="1" ht="15" x14ac:dyDescent="0.25"/>
    <row r="9" spans="1:43" customFormat="1" ht="15" x14ac:dyDescent="0.25">
      <c r="A9" t="s">
        <v>12</v>
      </c>
    </row>
    <row r="10" spans="1:43" customFormat="1" ht="26.25" x14ac:dyDescent="0.25">
      <c r="A10" s="26" t="s">
        <v>13</v>
      </c>
      <c r="B10" s="6" t="s">
        <v>14</v>
      </c>
      <c r="C10" s="6" t="s">
        <v>15</v>
      </c>
      <c r="D10" s="6" t="s">
        <v>16</v>
      </c>
      <c r="E10" s="7" t="s">
        <v>17</v>
      </c>
      <c r="F10" s="15" t="s">
        <v>151</v>
      </c>
      <c r="G10" s="35">
        <v>46082</v>
      </c>
      <c r="H10" s="35">
        <v>46083</v>
      </c>
      <c r="I10" s="35">
        <v>46084</v>
      </c>
      <c r="J10" s="35">
        <v>46085</v>
      </c>
      <c r="K10" s="35">
        <v>46086</v>
      </c>
      <c r="L10" s="35">
        <v>46087</v>
      </c>
      <c r="M10" s="35">
        <v>46088</v>
      </c>
      <c r="N10" s="35">
        <v>46089</v>
      </c>
      <c r="O10" s="35">
        <v>46090</v>
      </c>
      <c r="P10" s="35">
        <v>46091</v>
      </c>
      <c r="Q10" s="35">
        <v>46092</v>
      </c>
      <c r="R10" s="35">
        <v>46093</v>
      </c>
      <c r="S10" s="35">
        <v>46094</v>
      </c>
      <c r="T10" s="35">
        <v>46095</v>
      </c>
      <c r="U10" s="35">
        <v>46096</v>
      </c>
      <c r="V10" s="35">
        <v>46097</v>
      </c>
      <c r="W10" s="35">
        <v>46098</v>
      </c>
      <c r="X10" s="35">
        <v>46099</v>
      </c>
      <c r="Y10" s="35">
        <v>46100</v>
      </c>
      <c r="Z10" s="35">
        <v>46101</v>
      </c>
      <c r="AA10" s="35">
        <v>46102</v>
      </c>
      <c r="AB10" s="35">
        <v>46103</v>
      </c>
      <c r="AC10" s="35">
        <v>46104</v>
      </c>
      <c r="AD10" s="35">
        <v>46105</v>
      </c>
      <c r="AE10" s="35">
        <v>46106</v>
      </c>
      <c r="AF10" s="35">
        <v>46107</v>
      </c>
      <c r="AG10" s="35">
        <v>46108</v>
      </c>
      <c r="AH10" s="35">
        <v>46109</v>
      </c>
      <c r="AI10" s="35">
        <v>46110</v>
      </c>
      <c r="AJ10" s="35">
        <v>46111</v>
      </c>
      <c r="AK10" s="35">
        <v>46112</v>
      </c>
      <c r="AL10" s="15" t="s">
        <v>152</v>
      </c>
      <c r="AM10" s="5" t="s">
        <v>18</v>
      </c>
      <c r="AN10" s="5" t="s">
        <v>19</v>
      </c>
      <c r="AO10" s="5" t="s">
        <v>20</v>
      </c>
      <c r="AP10" s="17"/>
      <c r="AQ10" s="18"/>
    </row>
    <row r="11" spans="1:43" customFormat="1" ht="15" x14ac:dyDescent="0.25">
      <c r="A11" s="13" t="s">
        <v>149</v>
      </c>
      <c r="B11" s="22" t="s">
        <v>89</v>
      </c>
      <c r="C11" s="22" t="s">
        <v>29</v>
      </c>
      <c r="D11" s="13"/>
      <c r="E11" s="3" t="s">
        <v>150</v>
      </c>
      <c r="F11" s="15">
        <f>'Feb 2026'!AI11</f>
        <v>1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>
        <v>-1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37">
        <f t="shared" ref="AL11:AL42" si="0">SUM(G11:AK11)+F11</f>
        <v>0</v>
      </c>
      <c r="AM11">
        <v>2</v>
      </c>
      <c r="AN11">
        <v>0</v>
      </c>
      <c r="AO11">
        <v>3</v>
      </c>
    </row>
    <row r="12" spans="1:43" customFormat="1" ht="15" x14ac:dyDescent="0.25">
      <c r="A12" s="13" t="s">
        <v>149</v>
      </c>
      <c r="B12" s="22" t="s">
        <v>90</v>
      </c>
      <c r="C12" s="22" t="s">
        <v>30</v>
      </c>
      <c r="D12" s="13"/>
      <c r="E12" s="3" t="s">
        <v>150</v>
      </c>
      <c r="F12" s="15">
        <f>'Feb 2026'!AI12</f>
        <v>0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37">
        <f t="shared" si="0"/>
        <v>0</v>
      </c>
      <c r="AM12">
        <v>2</v>
      </c>
      <c r="AN12">
        <v>0</v>
      </c>
      <c r="AO12">
        <v>3</v>
      </c>
    </row>
    <row r="13" spans="1:43" customFormat="1" ht="15" x14ac:dyDescent="0.25">
      <c r="A13" s="13" t="s">
        <v>146</v>
      </c>
      <c r="B13" s="22" t="s">
        <v>91</v>
      </c>
      <c r="C13" s="22" t="s">
        <v>31</v>
      </c>
      <c r="D13" s="13"/>
      <c r="E13" s="3" t="s">
        <v>150</v>
      </c>
      <c r="F13" s="15">
        <f>'Feb 2026'!AI13</f>
        <v>457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37">
        <f t="shared" si="0"/>
        <v>457</v>
      </c>
      <c r="AP13" t="s">
        <v>154</v>
      </c>
    </row>
    <row r="14" spans="1:43" customFormat="1" ht="15" x14ac:dyDescent="0.25">
      <c r="A14" s="13" t="s">
        <v>146</v>
      </c>
      <c r="B14" s="22" t="s">
        <v>92</v>
      </c>
      <c r="C14" s="22" t="s">
        <v>32</v>
      </c>
      <c r="D14" s="13"/>
      <c r="E14" s="3" t="s">
        <v>150</v>
      </c>
      <c r="F14" s="15">
        <f>'Feb 2026'!AI14</f>
        <v>312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37">
        <f t="shared" si="0"/>
        <v>312</v>
      </c>
      <c r="AP14" t="s">
        <v>154</v>
      </c>
    </row>
    <row r="15" spans="1:43" customFormat="1" ht="15" x14ac:dyDescent="0.25">
      <c r="A15" s="13" t="s">
        <v>146</v>
      </c>
      <c r="B15" s="22" t="s">
        <v>93</v>
      </c>
      <c r="C15" s="22" t="s">
        <v>33</v>
      </c>
      <c r="D15" s="13"/>
      <c r="E15" s="3" t="s">
        <v>150</v>
      </c>
      <c r="F15" s="15">
        <f>'Feb 2026'!AI15</f>
        <v>1</v>
      </c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4"/>
      <c r="AI15" s="13"/>
      <c r="AJ15" s="13"/>
      <c r="AK15" s="13"/>
      <c r="AL15" s="37">
        <f t="shared" si="0"/>
        <v>1</v>
      </c>
      <c r="AM15">
        <v>180</v>
      </c>
      <c r="AN15">
        <v>300</v>
      </c>
      <c r="AO15">
        <v>1080</v>
      </c>
    </row>
    <row r="16" spans="1:43" customFormat="1" ht="15" x14ac:dyDescent="0.25">
      <c r="A16" s="13" t="s">
        <v>146</v>
      </c>
      <c r="B16" s="22" t="s">
        <v>94</v>
      </c>
      <c r="C16" s="22" t="s">
        <v>34</v>
      </c>
      <c r="D16" s="13"/>
      <c r="E16" s="3" t="s">
        <v>150</v>
      </c>
      <c r="F16" s="15">
        <f>'Feb 2026'!AI16</f>
        <v>263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37">
        <f t="shared" si="0"/>
        <v>263</v>
      </c>
      <c r="AP16" t="s">
        <v>154</v>
      </c>
    </row>
    <row r="17" spans="1:42" customFormat="1" ht="15" x14ac:dyDescent="0.25">
      <c r="A17" s="13" t="s">
        <v>146</v>
      </c>
      <c r="B17" s="22" t="s">
        <v>95</v>
      </c>
      <c r="C17" s="22" t="s">
        <v>35</v>
      </c>
      <c r="D17" s="13"/>
      <c r="E17" s="3" t="s">
        <v>150</v>
      </c>
      <c r="F17" s="15">
        <f>'Feb 2026'!AI17</f>
        <v>211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37">
        <f t="shared" si="0"/>
        <v>211</v>
      </c>
      <c r="AM17">
        <v>50</v>
      </c>
      <c r="AN17">
        <v>75</v>
      </c>
      <c r="AO17">
        <v>250</v>
      </c>
    </row>
    <row r="18" spans="1:42" customFormat="1" ht="15" x14ac:dyDescent="0.25">
      <c r="A18" s="13" t="s">
        <v>146</v>
      </c>
      <c r="B18" s="22" t="s">
        <v>96</v>
      </c>
      <c r="C18" s="22" t="s">
        <v>36</v>
      </c>
      <c r="D18" s="13"/>
      <c r="E18" s="3" t="s">
        <v>150</v>
      </c>
      <c r="F18" s="15">
        <f>'Feb 2026'!AI18</f>
        <v>47</v>
      </c>
      <c r="G18" s="13"/>
      <c r="H18" s="13"/>
      <c r="I18" s="13"/>
      <c r="J18" s="13"/>
      <c r="K18" s="13"/>
      <c r="L18" s="13">
        <f>-10+-14</f>
        <v>-24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>
        <v>-23</v>
      </c>
      <c r="AF18" s="13"/>
      <c r="AG18" s="13"/>
      <c r="AH18" s="13"/>
      <c r="AI18" s="13"/>
      <c r="AJ18" s="13"/>
      <c r="AK18" s="13"/>
      <c r="AL18" s="37">
        <f t="shared" si="0"/>
        <v>0</v>
      </c>
      <c r="AM18">
        <v>50</v>
      </c>
      <c r="AN18">
        <v>75</v>
      </c>
      <c r="AO18">
        <v>300</v>
      </c>
    </row>
    <row r="19" spans="1:42" customFormat="1" ht="15" x14ac:dyDescent="0.25">
      <c r="A19" s="13" t="s">
        <v>146</v>
      </c>
      <c r="B19" s="22" t="s">
        <v>97</v>
      </c>
      <c r="C19" s="22" t="s">
        <v>37</v>
      </c>
      <c r="D19" s="13"/>
      <c r="E19" s="3" t="s">
        <v>150</v>
      </c>
      <c r="F19" s="15">
        <f>'Feb 2026'!AI19</f>
        <v>19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37">
        <f t="shared" si="0"/>
        <v>19</v>
      </c>
      <c r="AP19" t="s">
        <v>154</v>
      </c>
    </row>
    <row r="20" spans="1:42" customFormat="1" ht="15" x14ac:dyDescent="0.25">
      <c r="A20" s="13"/>
      <c r="B20" s="22" t="s">
        <v>98</v>
      </c>
      <c r="C20" s="22" t="s">
        <v>38</v>
      </c>
      <c r="D20" s="13"/>
      <c r="E20" s="3" t="s">
        <v>150</v>
      </c>
      <c r="F20" s="15">
        <f>'Feb 2026'!AI20</f>
        <v>505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37">
        <f t="shared" si="0"/>
        <v>505</v>
      </c>
      <c r="AP20" t="s">
        <v>154</v>
      </c>
    </row>
    <row r="21" spans="1:42" customFormat="1" ht="15" x14ac:dyDescent="0.25">
      <c r="A21" s="13" t="s">
        <v>146</v>
      </c>
      <c r="B21" s="22" t="s">
        <v>99</v>
      </c>
      <c r="C21" s="22" t="s">
        <v>39</v>
      </c>
      <c r="D21" s="13"/>
      <c r="E21" s="3" t="s">
        <v>150</v>
      </c>
      <c r="F21" s="15">
        <f>'Feb 2026'!AI21</f>
        <v>104</v>
      </c>
      <c r="G21" s="13"/>
      <c r="H21" s="13"/>
      <c r="I21" s="13"/>
      <c r="J21" s="13"/>
      <c r="K21" s="13">
        <f>-14+-23</f>
        <v>-37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>
        <v>-42</v>
      </c>
      <c r="AK21" s="13"/>
      <c r="AL21" s="37">
        <f t="shared" si="0"/>
        <v>25</v>
      </c>
      <c r="AM21">
        <v>50</v>
      </c>
      <c r="AN21">
        <v>75</v>
      </c>
      <c r="AO21">
        <v>300</v>
      </c>
    </row>
    <row r="22" spans="1:42" customFormat="1" ht="15" x14ac:dyDescent="0.25">
      <c r="A22" s="13" t="s">
        <v>146</v>
      </c>
      <c r="B22" s="22" t="s">
        <v>100</v>
      </c>
      <c r="C22" s="22" t="s">
        <v>40</v>
      </c>
      <c r="D22" s="13"/>
      <c r="E22" s="3" t="s">
        <v>150</v>
      </c>
      <c r="F22" s="15">
        <f>'Feb 2026'!AI22</f>
        <v>22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37">
        <f t="shared" si="0"/>
        <v>22</v>
      </c>
      <c r="AM22">
        <v>150</v>
      </c>
      <c r="AN22">
        <v>250</v>
      </c>
      <c r="AO22">
        <v>450</v>
      </c>
    </row>
    <row r="23" spans="1:42" customFormat="1" ht="15" x14ac:dyDescent="0.25">
      <c r="A23" s="13"/>
      <c r="B23" s="22" t="s">
        <v>101</v>
      </c>
      <c r="C23" s="22" t="s">
        <v>41</v>
      </c>
      <c r="D23" s="13"/>
      <c r="E23" s="3" t="s">
        <v>150</v>
      </c>
      <c r="F23" s="15">
        <f>'Feb 2026'!AI23</f>
        <v>107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37">
        <f t="shared" si="0"/>
        <v>107</v>
      </c>
      <c r="AM23">
        <v>25</v>
      </c>
      <c r="AN23">
        <v>50</v>
      </c>
      <c r="AO23">
        <v>125</v>
      </c>
    </row>
    <row r="24" spans="1:42" customFormat="1" ht="15" x14ac:dyDescent="0.25">
      <c r="A24" s="13" t="s">
        <v>147</v>
      </c>
      <c r="B24" s="22" t="s">
        <v>102</v>
      </c>
      <c r="C24" s="22" t="s">
        <v>44</v>
      </c>
      <c r="D24" s="13"/>
      <c r="E24" s="3" t="s">
        <v>150</v>
      </c>
      <c r="F24" s="15">
        <f>'Feb 2026'!AI24</f>
        <v>48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37">
        <f t="shared" si="0"/>
        <v>48</v>
      </c>
    </row>
    <row r="25" spans="1:42" customFormat="1" ht="15" x14ac:dyDescent="0.25">
      <c r="A25" s="13" t="s">
        <v>147</v>
      </c>
      <c r="B25" s="22" t="s">
        <v>103</v>
      </c>
      <c r="C25" s="22" t="s">
        <v>45</v>
      </c>
      <c r="D25" s="13"/>
      <c r="E25" s="3" t="s">
        <v>150</v>
      </c>
      <c r="F25" s="15">
        <f>'Feb 2026'!AI25</f>
        <v>18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>
        <v>-4</v>
      </c>
      <c r="AL25" s="37">
        <f t="shared" si="0"/>
        <v>14</v>
      </c>
    </row>
    <row r="26" spans="1:42" customFormat="1" ht="15" x14ac:dyDescent="0.25">
      <c r="A26" s="13" t="s">
        <v>147</v>
      </c>
      <c r="B26" s="22" t="s">
        <v>104</v>
      </c>
      <c r="C26" s="22" t="s">
        <v>46</v>
      </c>
      <c r="D26" s="13"/>
      <c r="E26" s="3" t="s">
        <v>150</v>
      </c>
      <c r="F26" s="15">
        <f>'Feb 2026'!AI26</f>
        <v>189</v>
      </c>
      <c r="G26" s="13"/>
      <c r="H26" s="13"/>
      <c r="I26" s="13">
        <v>-43</v>
      </c>
      <c r="J26" s="13"/>
      <c r="K26" s="13">
        <f>-14+-36</f>
        <v>-50</v>
      </c>
      <c r="L26" s="13"/>
      <c r="M26" s="13"/>
      <c r="N26" s="13"/>
      <c r="O26" s="13"/>
      <c r="P26" s="13"/>
      <c r="Q26" s="13">
        <v>-19</v>
      </c>
      <c r="R26" s="13"/>
      <c r="S26" s="13"/>
      <c r="T26" s="13"/>
      <c r="U26" s="13"/>
      <c r="V26" s="13">
        <v>-1</v>
      </c>
      <c r="W26" s="13">
        <v>-29</v>
      </c>
      <c r="X26" s="13"/>
      <c r="Y26" s="13"/>
      <c r="Z26" s="13">
        <v>-2</v>
      </c>
      <c r="AA26" s="13">
        <v>-6</v>
      </c>
      <c r="AB26" s="13"/>
      <c r="AC26" s="13"/>
      <c r="AD26" s="13">
        <v>-20</v>
      </c>
      <c r="AE26" s="13"/>
      <c r="AF26" s="13"/>
      <c r="AG26" s="13">
        <v>-1</v>
      </c>
      <c r="AH26" s="13"/>
      <c r="AI26" s="13"/>
      <c r="AJ26" s="13">
        <v>-2</v>
      </c>
      <c r="AK26" s="13"/>
      <c r="AL26" s="37">
        <f t="shared" si="0"/>
        <v>16</v>
      </c>
    </row>
    <row r="27" spans="1:42" customFormat="1" ht="15" x14ac:dyDescent="0.25">
      <c r="A27" s="13" t="s">
        <v>147</v>
      </c>
      <c r="B27" s="22" t="s">
        <v>105</v>
      </c>
      <c r="C27" s="22" t="s">
        <v>47</v>
      </c>
      <c r="D27" s="13"/>
      <c r="E27" s="3" t="s">
        <v>150</v>
      </c>
      <c r="F27" s="15">
        <f>'Feb 2026'!AI27</f>
        <v>0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37">
        <f t="shared" si="0"/>
        <v>0</v>
      </c>
    </row>
    <row r="28" spans="1:42" customFormat="1" ht="15" x14ac:dyDescent="0.25">
      <c r="A28" s="13" t="s">
        <v>147</v>
      </c>
      <c r="B28" s="22" t="s">
        <v>106</v>
      </c>
      <c r="C28" s="22" t="s">
        <v>48</v>
      </c>
      <c r="D28" s="13"/>
      <c r="E28" s="3" t="s">
        <v>150</v>
      </c>
      <c r="F28" s="15">
        <f>'Feb 2026'!AI28</f>
        <v>0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37">
        <f t="shared" si="0"/>
        <v>0</v>
      </c>
    </row>
    <row r="29" spans="1:42" customFormat="1" ht="15" x14ac:dyDescent="0.25">
      <c r="A29" s="13" t="s">
        <v>147</v>
      </c>
      <c r="B29" s="22" t="s">
        <v>107</v>
      </c>
      <c r="C29" s="22" t="s">
        <v>49</v>
      </c>
      <c r="D29" s="13"/>
      <c r="E29" s="3" t="s">
        <v>150</v>
      </c>
      <c r="F29" s="15">
        <f>'Feb 2026'!AI29</f>
        <v>0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37">
        <f t="shared" si="0"/>
        <v>0</v>
      </c>
    </row>
    <row r="30" spans="1:42" customFormat="1" ht="15" x14ac:dyDescent="0.25">
      <c r="A30" s="13" t="s">
        <v>148</v>
      </c>
      <c r="B30" s="22" t="s">
        <v>108</v>
      </c>
      <c r="C30" s="22" t="s">
        <v>50</v>
      </c>
      <c r="D30" s="13"/>
      <c r="E30" s="3" t="s">
        <v>150</v>
      </c>
      <c r="F30" s="15">
        <f>'Feb 2026'!AI30</f>
        <v>8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37">
        <f t="shared" si="0"/>
        <v>8</v>
      </c>
    </row>
    <row r="31" spans="1:42" customFormat="1" ht="15" x14ac:dyDescent="0.25">
      <c r="A31" s="13" t="s">
        <v>148</v>
      </c>
      <c r="B31" s="22" t="s">
        <v>109</v>
      </c>
      <c r="C31" s="22" t="s">
        <v>51</v>
      </c>
      <c r="D31" s="13"/>
      <c r="E31" s="3" t="s">
        <v>150</v>
      </c>
      <c r="F31" s="15">
        <f>'Feb 2026'!AI31</f>
        <v>0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37">
        <f t="shared" si="0"/>
        <v>0</v>
      </c>
    </row>
    <row r="32" spans="1:42" customFormat="1" ht="15" x14ac:dyDescent="0.25">
      <c r="A32" s="13" t="s">
        <v>148</v>
      </c>
      <c r="B32" s="22" t="s">
        <v>110</v>
      </c>
      <c r="C32" s="22" t="s">
        <v>52</v>
      </c>
      <c r="D32" s="13"/>
      <c r="E32" s="3" t="s">
        <v>150</v>
      </c>
      <c r="F32" s="15">
        <f>'Feb 2026'!AI32</f>
        <v>2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37">
        <f t="shared" si="0"/>
        <v>2</v>
      </c>
    </row>
    <row r="33" spans="1:42" customFormat="1" ht="15" x14ac:dyDescent="0.25">
      <c r="A33" s="13" t="s">
        <v>148</v>
      </c>
      <c r="B33" s="22" t="s">
        <v>111</v>
      </c>
      <c r="C33" s="22" t="s">
        <v>53</v>
      </c>
      <c r="D33" s="13"/>
      <c r="E33" s="3" t="s">
        <v>150</v>
      </c>
      <c r="F33" s="15">
        <f>'Feb 2026'!AI33</f>
        <v>0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37">
        <f t="shared" si="0"/>
        <v>0</v>
      </c>
    </row>
    <row r="34" spans="1:42" customFormat="1" ht="15" x14ac:dyDescent="0.25">
      <c r="A34" s="13" t="s">
        <v>148</v>
      </c>
      <c r="B34" s="22" t="s">
        <v>112</v>
      </c>
      <c r="C34" s="22" t="s">
        <v>54</v>
      </c>
      <c r="D34" s="13"/>
      <c r="E34" s="3" t="s">
        <v>150</v>
      </c>
      <c r="F34" s="15">
        <f>'Feb 2026'!AI34</f>
        <v>4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37">
        <f t="shared" si="0"/>
        <v>4</v>
      </c>
    </row>
    <row r="35" spans="1:42" customFormat="1" ht="15" x14ac:dyDescent="0.25">
      <c r="A35" s="13" t="s">
        <v>148</v>
      </c>
      <c r="B35" s="22" t="s">
        <v>113</v>
      </c>
      <c r="C35" s="22" t="s">
        <v>55</v>
      </c>
      <c r="D35" s="13"/>
      <c r="E35" s="3" t="s">
        <v>150</v>
      </c>
      <c r="F35" s="15">
        <f>'Feb 2026'!AI35</f>
        <v>0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37">
        <f t="shared" si="0"/>
        <v>0</v>
      </c>
    </row>
    <row r="36" spans="1:42" customFormat="1" ht="15" x14ac:dyDescent="0.25">
      <c r="A36" s="13" t="s">
        <v>148</v>
      </c>
      <c r="B36" s="22" t="s">
        <v>114</v>
      </c>
      <c r="C36" s="22" t="s">
        <v>56</v>
      </c>
      <c r="D36" s="13"/>
      <c r="E36" s="3" t="s">
        <v>150</v>
      </c>
      <c r="F36" s="15">
        <f>'Feb 2026'!AI36</f>
        <v>0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37">
        <f t="shared" si="0"/>
        <v>0</v>
      </c>
    </row>
    <row r="37" spans="1:42" customFormat="1" ht="15" x14ac:dyDescent="0.25">
      <c r="A37" s="13" t="s">
        <v>148</v>
      </c>
      <c r="B37" s="22" t="s">
        <v>115</v>
      </c>
      <c r="C37" s="22" t="s">
        <v>57</v>
      </c>
      <c r="D37" s="13"/>
      <c r="E37" s="3" t="s">
        <v>150</v>
      </c>
      <c r="F37" s="15">
        <f>'Feb 2026'!AI37</f>
        <v>0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33">
        <v>7</v>
      </c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>
        <v>-1</v>
      </c>
      <c r="AH37" s="13"/>
      <c r="AI37" s="13"/>
      <c r="AJ37" s="13"/>
      <c r="AK37" s="13">
        <v>-3</v>
      </c>
      <c r="AL37" s="37">
        <f t="shared" si="0"/>
        <v>3</v>
      </c>
    </row>
    <row r="38" spans="1:42" customFormat="1" ht="15" x14ac:dyDescent="0.25">
      <c r="A38" s="13" t="s">
        <v>148</v>
      </c>
      <c r="B38" s="22" t="s">
        <v>116</v>
      </c>
      <c r="C38" s="22" t="s">
        <v>58</v>
      </c>
      <c r="D38" s="13"/>
      <c r="E38" s="3" t="s">
        <v>150</v>
      </c>
      <c r="F38" s="15">
        <f>'Feb 2026'!AI38</f>
        <v>75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>
        <v>-8</v>
      </c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37">
        <f t="shared" si="0"/>
        <v>67</v>
      </c>
    </row>
    <row r="39" spans="1:42" customFormat="1" ht="15" x14ac:dyDescent="0.25">
      <c r="A39" s="13" t="s">
        <v>148</v>
      </c>
      <c r="B39" s="22" t="s">
        <v>117</v>
      </c>
      <c r="C39" s="22" t="s">
        <v>59</v>
      </c>
      <c r="D39" s="13"/>
      <c r="E39" s="3" t="s">
        <v>150</v>
      </c>
      <c r="F39" s="15">
        <f>'Feb 2026'!AI39</f>
        <v>0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37">
        <f t="shared" si="0"/>
        <v>0</v>
      </c>
    </row>
    <row r="40" spans="1:42" customFormat="1" ht="15" x14ac:dyDescent="0.25">
      <c r="A40" s="13" t="s">
        <v>148</v>
      </c>
      <c r="B40" s="22" t="s">
        <v>118</v>
      </c>
      <c r="C40" s="22" t="s">
        <v>60</v>
      </c>
      <c r="D40" s="13"/>
      <c r="E40" s="3" t="s">
        <v>150</v>
      </c>
      <c r="F40" s="15">
        <f>'Feb 2026'!AI40</f>
        <v>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37">
        <f t="shared" si="0"/>
        <v>0</v>
      </c>
    </row>
    <row r="41" spans="1:42" customFormat="1" ht="15" x14ac:dyDescent="0.25">
      <c r="A41" s="13" t="s">
        <v>148</v>
      </c>
      <c r="B41" s="22" t="s">
        <v>119</v>
      </c>
      <c r="C41" s="22" t="s">
        <v>61</v>
      </c>
      <c r="D41" s="13"/>
      <c r="E41" s="3" t="s">
        <v>150</v>
      </c>
      <c r="F41" s="15">
        <f>'Feb 2026'!AI41</f>
        <v>1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37">
        <f t="shared" si="0"/>
        <v>1</v>
      </c>
    </row>
    <row r="42" spans="1:42" customFormat="1" ht="15" x14ac:dyDescent="0.25">
      <c r="A42" s="13" t="s">
        <v>148</v>
      </c>
      <c r="B42" s="22" t="s">
        <v>120</v>
      </c>
      <c r="C42" s="22" t="s">
        <v>62</v>
      </c>
      <c r="D42" s="13"/>
      <c r="E42" s="3" t="s">
        <v>150</v>
      </c>
      <c r="F42" s="15">
        <f>'Feb 2026'!AI42</f>
        <v>141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37">
        <f t="shared" si="0"/>
        <v>141</v>
      </c>
    </row>
    <row r="43" spans="1:42" customFormat="1" ht="15" x14ac:dyDescent="0.25">
      <c r="A43" s="13" t="s">
        <v>146</v>
      </c>
      <c r="B43" s="22" t="s">
        <v>90</v>
      </c>
      <c r="C43" s="22" t="s">
        <v>63</v>
      </c>
      <c r="D43" s="13"/>
      <c r="E43" s="3" t="s">
        <v>150</v>
      </c>
      <c r="F43" s="15">
        <f>'Feb 2026'!AI43</f>
        <v>31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37">
        <f t="shared" ref="AL43:AL69" si="1">SUM(G43:AK43)+F43</f>
        <v>31</v>
      </c>
      <c r="AP43" t="s">
        <v>154</v>
      </c>
    </row>
    <row r="44" spans="1:42" customFormat="1" ht="15" x14ac:dyDescent="0.25">
      <c r="A44" s="13" t="s">
        <v>146</v>
      </c>
      <c r="B44" s="22" t="s">
        <v>121</v>
      </c>
      <c r="C44" s="22" t="s">
        <v>64</v>
      </c>
      <c r="D44" s="13"/>
      <c r="E44" s="3" t="s">
        <v>150</v>
      </c>
      <c r="F44" s="15">
        <f>'Feb 2026'!AI44</f>
        <v>18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37">
        <f t="shared" si="1"/>
        <v>18</v>
      </c>
      <c r="AP44" t="s">
        <v>154</v>
      </c>
    </row>
    <row r="45" spans="1:42" customFormat="1" ht="15" x14ac:dyDescent="0.25">
      <c r="A45" s="13" t="s">
        <v>146</v>
      </c>
      <c r="B45" s="22" t="s">
        <v>122</v>
      </c>
      <c r="C45" s="22" t="s">
        <v>65</v>
      </c>
      <c r="D45" s="13"/>
      <c r="E45" s="3" t="s">
        <v>150</v>
      </c>
      <c r="F45" s="15">
        <f>'Feb 2026'!AI45</f>
        <v>18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37">
        <f t="shared" si="1"/>
        <v>18</v>
      </c>
      <c r="AP45" t="s">
        <v>154</v>
      </c>
    </row>
    <row r="46" spans="1:42" customFormat="1" ht="15" x14ac:dyDescent="0.25">
      <c r="A46" s="13"/>
      <c r="B46" s="22" t="s">
        <v>123</v>
      </c>
      <c r="C46" s="22" t="s">
        <v>66</v>
      </c>
      <c r="D46" s="13"/>
      <c r="E46" s="3" t="s">
        <v>150</v>
      </c>
      <c r="F46" s="15">
        <f>'Feb 2026'!AI46</f>
        <v>24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37">
        <f t="shared" si="1"/>
        <v>24</v>
      </c>
      <c r="AP46" t="s">
        <v>154</v>
      </c>
    </row>
    <row r="47" spans="1:42" customFormat="1" ht="15" x14ac:dyDescent="0.25">
      <c r="A47" s="13"/>
      <c r="B47" s="22" t="s">
        <v>124</v>
      </c>
      <c r="C47" s="22" t="s">
        <v>67</v>
      </c>
      <c r="D47" s="13"/>
      <c r="E47" s="3" t="s">
        <v>150</v>
      </c>
      <c r="F47" s="15">
        <f>'Feb 2026'!AI47</f>
        <v>19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37">
        <f t="shared" si="1"/>
        <v>19</v>
      </c>
      <c r="AP47" t="s">
        <v>154</v>
      </c>
    </row>
    <row r="48" spans="1:42" customFormat="1" ht="15" x14ac:dyDescent="0.25">
      <c r="A48" s="13"/>
      <c r="B48" s="22" t="s">
        <v>125</v>
      </c>
      <c r="C48" s="22" t="s">
        <v>68</v>
      </c>
      <c r="D48" s="13"/>
      <c r="E48" s="3" t="s">
        <v>150</v>
      </c>
      <c r="F48" s="15">
        <f>'Feb 2026'!AI48</f>
        <v>17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37">
        <f t="shared" si="1"/>
        <v>17</v>
      </c>
      <c r="AP48" t="s">
        <v>154</v>
      </c>
    </row>
    <row r="49" spans="1:42" customFormat="1" ht="15" x14ac:dyDescent="0.25">
      <c r="A49" s="13" t="s">
        <v>146</v>
      </c>
      <c r="B49" s="22" t="s">
        <v>126</v>
      </c>
      <c r="C49" s="22" t="s">
        <v>69</v>
      </c>
      <c r="D49" s="13"/>
      <c r="E49" s="3" t="s">
        <v>150</v>
      </c>
      <c r="F49" s="15">
        <f>'Feb 2026'!AI49</f>
        <v>54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7">
        <f t="shared" si="1"/>
        <v>54</v>
      </c>
      <c r="AP49" t="s">
        <v>154</v>
      </c>
    </row>
    <row r="50" spans="1:42" customFormat="1" ht="15" x14ac:dyDescent="0.25">
      <c r="A50" s="13"/>
      <c r="B50" s="22" t="s">
        <v>127</v>
      </c>
      <c r="C50" s="22" t="s">
        <v>70</v>
      </c>
      <c r="D50" s="13"/>
      <c r="E50" s="3" t="s">
        <v>150</v>
      </c>
      <c r="F50" s="15">
        <f>'Feb 2026'!AI50</f>
        <v>5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7">
        <f t="shared" si="1"/>
        <v>5</v>
      </c>
      <c r="AP50" t="s">
        <v>154</v>
      </c>
    </row>
    <row r="51" spans="1:42" customFormat="1" ht="15" x14ac:dyDescent="0.25">
      <c r="A51" s="13"/>
      <c r="B51" s="22" t="s">
        <v>128</v>
      </c>
      <c r="C51" s="22" t="s">
        <v>71</v>
      </c>
      <c r="D51" s="13"/>
      <c r="E51" s="3" t="s">
        <v>150</v>
      </c>
      <c r="F51" s="15">
        <f>'Feb 2026'!AI51</f>
        <v>64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7">
        <f t="shared" si="1"/>
        <v>64</v>
      </c>
      <c r="AM51">
        <v>10</v>
      </c>
      <c r="AN51">
        <v>15</v>
      </c>
      <c r="AO51">
        <v>50</v>
      </c>
    </row>
    <row r="52" spans="1:42" customFormat="1" ht="15" x14ac:dyDescent="0.25">
      <c r="A52" s="13"/>
      <c r="B52" s="22" t="s">
        <v>129</v>
      </c>
      <c r="C52" s="22" t="s">
        <v>72</v>
      </c>
      <c r="D52" s="13"/>
      <c r="E52" s="3" t="s">
        <v>150</v>
      </c>
      <c r="F52" s="15">
        <f>'Feb 2026'!AI52</f>
        <v>52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7">
        <f t="shared" si="1"/>
        <v>52</v>
      </c>
      <c r="AP52" t="s">
        <v>154</v>
      </c>
    </row>
    <row r="53" spans="1:42" customFormat="1" ht="15" x14ac:dyDescent="0.25">
      <c r="A53" s="13" t="s">
        <v>146</v>
      </c>
      <c r="B53" s="22" t="s">
        <v>130</v>
      </c>
      <c r="C53" s="22" t="s">
        <v>73</v>
      </c>
      <c r="D53" s="13"/>
      <c r="E53" s="3" t="s">
        <v>150</v>
      </c>
      <c r="F53" s="15">
        <f>'Feb 2026'!AI53</f>
        <v>0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7">
        <f t="shared" si="1"/>
        <v>0</v>
      </c>
      <c r="AM53">
        <v>50</v>
      </c>
      <c r="AN53">
        <v>75</v>
      </c>
      <c r="AO53">
        <v>300</v>
      </c>
    </row>
    <row r="54" spans="1:42" customFormat="1" ht="15" x14ac:dyDescent="0.25">
      <c r="A54" s="13" t="s">
        <v>146</v>
      </c>
      <c r="B54" s="22" t="s">
        <v>131</v>
      </c>
      <c r="C54" s="22" t="s">
        <v>74</v>
      </c>
      <c r="D54" s="13"/>
      <c r="E54" s="3" t="s">
        <v>150</v>
      </c>
      <c r="F54" s="15">
        <f>'Feb 2026'!AI54</f>
        <v>160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>
        <v>-50</v>
      </c>
      <c r="AE54" s="32"/>
      <c r="AF54" s="32"/>
      <c r="AG54" s="32"/>
      <c r="AH54" s="32"/>
      <c r="AI54" s="32"/>
      <c r="AJ54" s="32"/>
      <c r="AK54" s="32"/>
      <c r="AL54" s="37">
        <f t="shared" si="1"/>
        <v>110</v>
      </c>
      <c r="AM54">
        <v>25</v>
      </c>
      <c r="AN54">
        <v>50</v>
      </c>
      <c r="AO54">
        <v>200</v>
      </c>
    </row>
    <row r="55" spans="1:42" customFormat="1" ht="15" x14ac:dyDescent="0.25">
      <c r="A55" s="13" t="s">
        <v>146</v>
      </c>
      <c r="B55" s="22" t="s">
        <v>132</v>
      </c>
      <c r="C55" s="22" t="s">
        <v>75</v>
      </c>
      <c r="D55" s="13"/>
      <c r="E55" s="3" t="s">
        <v>150</v>
      </c>
      <c r="F55" s="15">
        <f>'Feb 2026'!AI55</f>
        <v>216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>
        <v>-50</v>
      </c>
      <c r="AK55" s="32"/>
      <c r="AL55" s="37">
        <f t="shared" si="1"/>
        <v>166</v>
      </c>
      <c r="AM55">
        <v>25</v>
      </c>
      <c r="AN55">
        <v>50</v>
      </c>
      <c r="AO55">
        <v>200</v>
      </c>
    </row>
    <row r="56" spans="1:42" customFormat="1" ht="15" x14ac:dyDescent="0.25">
      <c r="A56" s="13"/>
      <c r="B56" s="22" t="s">
        <v>133</v>
      </c>
      <c r="C56" s="22" t="s">
        <v>76</v>
      </c>
      <c r="D56" s="13"/>
      <c r="E56" s="3" t="s">
        <v>150</v>
      </c>
      <c r="F56" s="15">
        <f>'Feb 2026'!AI56</f>
        <v>0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7">
        <f t="shared" si="1"/>
        <v>0</v>
      </c>
      <c r="AM56">
        <v>10</v>
      </c>
      <c r="AN56">
        <v>15</v>
      </c>
      <c r="AO56">
        <v>50</v>
      </c>
    </row>
    <row r="57" spans="1:42" customFormat="1" ht="15" x14ac:dyDescent="0.25">
      <c r="A57" s="13"/>
      <c r="B57" s="22" t="s">
        <v>134</v>
      </c>
      <c r="C57" s="22" t="s">
        <v>77</v>
      </c>
      <c r="D57" s="13"/>
      <c r="E57" s="3" t="s">
        <v>150</v>
      </c>
      <c r="F57" s="15">
        <f>'Feb 2026'!AI57</f>
        <v>0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7">
        <f t="shared" si="1"/>
        <v>0</v>
      </c>
    </row>
    <row r="58" spans="1:42" customFormat="1" ht="15" x14ac:dyDescent="0.25">
      <c r="A58" s="13" t="s">
        <v>146</v>
      </c>
      <c r="B58" s="22" t="s">
        <v>135</v>
      </c>
      <c r="C58" s="22" t="s">
        <v>78</v>
      </c>
      <c r="D58" s="13"/>
      <c r="E58" s="3" t="s">
        <v>150</v>
      </c>
      <c r="F58" s="15">
        <f>'Feb 2026'!AI58</f>
        <v>15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7">
        <f t="shared" si="1"/>
        <v>15</v>
      </c>
    </row>
    <row r="59" spans="1:42" customFormat="1" ht="15" x14ac:dyDescent="0.25">
      <c r="A59" s="13" t="s">
        <v>146</v>
      </c>
      <c r="B59" s="22" t="s">
        <v>136</v>
      </c>
      <c r="C59" s="22" t="s">
        <v>79</v>
      </c>
      <c r="D59" s="13"/>
      <c r="E59" s="3" t="s">
        <v>150</v>
      </c>
      <c r="F59" s="15">
        <f>'Feb 2026'!AI59</f>
        <v>69</v>
      </c>
      <c r="G59" s="32"/>
      <c r="H59" s="32">
        <v>-6</v>
      </c>
      <c r="I59" s="32"/>
      <c r="J59" s="32"/>
      <c r="K59" s="32">
        <v>-30</v>
      </c>
      <c r="L59" s="32"/>
      <c r="M59" s="32"/>
      <c r="N59" s="32"/>
      <c r="O59" s="32">
        <v>-9</v>
      </c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6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7">
        <f t="shared" si="1"/>
        <v>24</v>
      </c>
    </row>
    <row r="60" spans="1:42" customFormat="1" ht="15" x14ac:dyDescent="0.25">
      <c r="A60" s="13" t="s">
        <v>146</v>
      </c>
      <c r="B60" s="22" t="s">
        <v>137</v>
      </c>
      <c r="C60" s="22" t="s">
        <v>80</v>
      </c>
      <c r="D60" s="13"/>
      <c r="E60" s="3" t="s">
        <v>150</v>
      </c>
      <c r="F60" s="15">
        <f>'Feb 2026'!AI60</f>
        <v>16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7">
        <f t="shared" si="1"/>
        <v>16</v>
      </c>
    </row>
    <row r="61" spans="1:42" customFormat="1" ht="15" x14ac:dyDescent="0.25">
      <c r="A61" s="13"/>
      <c r="B61" s="22" t="s">
        <v>138</v>
      </c>
      <c r="C61" s="22" t="s">
        <v>81</v>
      </c>
      <c r="D61" s="13"/>
      <c r="E61" s="3" t="s">
        <v>150</v>
      </c>
      <c r="F61" s="15">
        <f>'Feb 2026'!AI61</f>
        <v>0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7">
        <f t="shared" si="1"/>
        <v>0</v>
      </c>
    </row>
    <row r="62" spans="1:42" customFormat="1" ht="15" x14ac:dyDescent="0.25">
      <c r="A62" s="13" t="s">
        <v>146</v>
      </c>
      <c r="B62" s="22" t="s">
        <v>139</v>
      </c>
      <c r="C62" s="22" t="s">
        <v>82</v>
      </c>
      <c r="D62" s="13"/>
      <c r="E62" s="3" t="s">
        <v>150</v>
      </c>
      <c r="F62" s="15">
        <f>'Feb 2026'!AI62</f>
        <v>9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7">
        <f t="shared" si="1"/>
        <v>9</v>
      </c>
    </row>
    <row r="63" spans="1:42" customFormat="1" ht="15" x14ac:dyDescent="0.25">
      <c r="A63" s="13"/>
      <c r="B63" s="22" t="s">
        <v>140</v>
      </c>
      <c r="C63" s="22" t="s">
        <v>83</v>
      </c>
      <c r="D63" s="13"/>
      <c r="E63" s="3" t="s">
        <v>150</v>
      </c>
      <c r="F63" s="15">
        <f>'Feb 2026'!AI63</f>
        <v>3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7">
        <f t="shared" si="1"/>
        <v>3</v>
      </c>
    </row>
    <row r="64" spans="1:42" customFormat="1" ht="14.25" customHeight="1" x14ac:dyDescent="0.25">
      <c r="A64" s="13"/>
      <c r="B64" s="22" t="s">
        <v>141</v>
      </c>
      <c r="C64" s="22" t="s">
        <v>84</v>
      </c>
      <c r="D64" s="13"/>
      <c r="E64" s="3" t="s">
        <v>150</v>
      </c>
      <c r="F64" s="15">
        <f>'Feb 2026'!AI64</f>
        <v>0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7">
        <f t="shared" si="1"/>
        <v>0</v>
      </c>
    </row>
    <row r="65" spans="1:41" customFormat="1" ht="15" x14ac:dyDescent="0.25">
      <c r="A65" s="13" t="s">
        <v>146</v>
      </c>
      <c r="B65" s="22" t="s">
        <v>142</v>
      </c>
      <c r="C65" s="22" t="s">
        <v>85</v>
      </c>
      <c r="D65" s="13"/>
      <c r="E65" s="3" t="s">
        <v>150</v>
      </c>
      <c r="F65" s="15">
        <f>'Feb 2026'!AI65</f>
        <v>117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>
        <v>-2</v>
      </c>
      <c r="AK65" s="32"/>
      <c r="AL65" s="37">
        <f t="shared" si="1"/>
        <v>115</v>
      </c>
    </row>
    <row r="66" spans="1:41" customFormat="1" ht="15" x14ac:dyDescent="0.25">
      <c r="A66" s="13" t="s">
        <v>146</v>
      </c>
      <c r="B66" s="22" t="s">
        <v>143</v>
      </c>
      <c r="C66" s="22" t="s">
        <v>86</v>
      </c>
      <c r="D66" s="13"/>
      <c r="E66" s="3" t="s">
        <v>150</v>
      </c>
      <c r="F66" s="15">
        <f>'Feb 2026'!AI66</f>
        <v>51</v>
      </c>
      <c r="G66" s="32"/>
      <c r="H66" s="32">
        <v>-3</v>
      </c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14"/>
      <c r="AI66" s="32"/>
      <c r="AJ66" s="32"/>
      <c r="AK66" s="32"/>
      <c r="AL66" s="37">
        <f t="shared" si="1"/>
        <v>48</v>
      </c>
    </row>
    <row r="67" spans="1:41" customFormat="1" ht="15" x14ac:dyDescent="0.25">
      <c r="A67" s="13" t="s">
        <v>146</v>
      </c>
      <c r="B67" s="22" t="s">
        <v>144</v>
      </c>
      <c r="C67" s="22" t="s">
        <v>87</v>
      </c>
      <c r="D67" s="13"/>
      <c r="E67" s="3" t="s">
        <v>150</v>
      </c>
      <c r="F67" s="15">
        <f>'Feb 2026'!AI67</f>
        <v>32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14"/>
      <c r="AI67" s="32"/>
      <c r="AJ67" s="32"/>
      <c r="AK67" s="32"/>
      <c r="AL67" s="37">
        <f t="shared" si="1"/>
        <v>32</v>
      </c>
      <c r="AM67">
        <v>20</v>
      </c>
      <c r="AN67">
        <v>30</v>
      </c>
      <c r="AO67">
        <v>150</v>
      </c>
    </row>
    <row r="68" spans="1:41" customFormat="1" ht="15" x14ac:dyDescent="0.25">
      <c r="A68" s="13" t="s">
        <v>146</v>
      </c>
      <c r="B68" s="22" t="s">
        <v>145</v>
      </c>
      <c r="C68" s="22" t="s">
        <v>88</v>
      </c>
      <c r="D68" s="13"/>
      <c r="E68" s="3" t="s">
        <v>150</v>
      </c>
      <c r="F68" s="15">
        <f>'Feb 2026'!AI68</f>
        <v>100</v>
      </c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>
        <v>-100</v>
      </c>
      <c r="AA68" s="32"/>
      <c r="AB68" s="32"/>
      <c r="AC68" s="32"/>
      <c r="AD68" s="32"/>
      <c r="AE68" s="32"/>
      <c r="AF68" s="32"/>
      <c r="AG68" s="32"/>
      <c r="AH68" s="14"/>
      <c r="AI68" s="32"/>
      <c r="AJ68" s="32"/>
      <c r="AK68" s="32"/>
      <c r="AL68" s="37">
        <f t="shared" si="1"/>
        <v>0</v>
      </c>
      <c r="AM68">
        <v>50</v>
      </c>
      <c r="AN68">
        <v>75</v>
      </c>
      <c r="AO68">
        <v>300</v>
      </c>
    </row>
    <row r="69" spans="1:41" customFormat="1" ht="15" x14ac:dyDescent="0.25">
      <c r="A69" s="13"/>
      <c r="B69" s="13"/>
      <c r="C69" s="13"/>
      <c r="D69" s="13"/>
      <c r="E69" s="13"/>
      <c r="F69" s="13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7">
        <f t="shared" si="1"/>
        <v>0</v>
      </c>
    </row>
    <row r="70" spans="1:41" customFormat="1" ht="15" x14ac:dyDescent="0.25">
      <c r="A70" s="13"/>
      <c r="B70" s="13"/>
      <c r="C70" s="13"/>
      <c r="D70" s="13"/>
      <c r="E70" s="13"/>
      <c r="F70" s="13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7"/>
    </row>
    <row r="71" spans="1:41" customFormat="1" ht="15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27"/>
    </row>
    <row r="72" spans="1:41" customFormat="1" ht="15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27"/>
    </row>
    <row r="73" spans="1:41" customFormat="1" ht="15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27"/>
    </row>
    <row r="74" spans="1:41" customFormat="1" ht="15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27"/>
    </row>
    <row r="75" spans="1:41" customFormat="1" ht="15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27"/>
    </row>
    <row r="76" spans="1:41" customFormat="1" ht="15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27">
        <f t="shared" ref="AL76:AL85" si="2">F76+SUM(G76:AK76)</f>
        <v>0</v>
      </c>
    </row>
    <row r="77" spans="1:41" customFormat="1" ht="15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27">
        <f t="shared" si="2"/>
        <v>0</v>
      </c>
    </row>
    <row r="78" spans="1:41" customFormat="1" ht="15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27">
        <f t="shared" si="2"/>
        <v>0</v>
      </c>
    </row>
    <row r="79" spans="1:41" customFormat="1" ht="15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27">
        <f t="shared" si="2"/>
        <v>0</v>
      </c>
    </row>
    <row r="80" spans="1:41" customFormat="1" ht="15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27">
        <f t="shared" si="2"/>
        <v>0</v>
      </c>
    </row>
    <row r="81" spans="1:38" customFormat="1" ht="15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27">
        <f t="shared" si="2"/>
        <v>0</v>
      </c>
    </row>
    <row r="82" spans="1:38" customFormat="1" ht="15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27">
        <f t="shared" si="2"/>
        <v>0</v>
      </c>
    </row>
    <row r="83" spans="1:38" customFormat="1" ht="15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27">
        <f t="shared" si="2"/>
        <v>0</v>
      </c>
    </row>
    <row r="84" spans="1:38" customFormat="1" ht="15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27">
        <f t="shared" si="2"/>
        <v>0</v>
      </c>
    </row>
    <row r="85" spans="1:38" customFormat="1" ht="15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27">
        <f t="shared" si="2"/>
        <v>0</v>
      </c>
    </row>
    <row r="86" spans="1:38" ht="12.75" customHeight="1" x14ac:dyDescent="0.2">
      <c r="A86" s="3"/>
      <c r="B86" s="30"/>
      <c r="C86" s="30"/>
      <c r="D86" s="30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8" x14ac:dyDescent="0.2">
      <c r="A87" s="3"/>
      <c r="B87" s="30"/>
      <c r="C87" s="30"/>
      <c r="D87" s="30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8" ht="79.5" customHeight="1" thickBot="1" x14ac:dyDescent="0.25">
      <c r="B88" s="9" t="s">
        <v>21</v>
      </c>
      <c r="C88" s="21"/>
      <c r="D88" s="21"/>
      <c r="E88" s="11" t="s">
        <v>22</v>
      </c>
      <c r="F88" s="24" t="s">
        <v>23</v>
      </c>
      <c r="G88" s="28" t="s">
        <v>24</v>
      </c>
      <c r="H88" s="29"/>
    </row>
    <row r="89" spans="1:38" ht="16.5" thickBot="1" x14ac:dyDescent="0.25">
      <c r="B89" s="9" t="s">
        <v>25</v>
      </c>
      <c r="C89" s="21"/>
      <c r="D89" s="21"/>
      <c r="E89" s="10"/>
      <c r="F89" s="23"/>
      <c r="G89" s="55"/>
      <c r="H89" s="56"/>
    </row>
    <row r="90" spans="1:38" ht="16.5" thickBot="1" x14ac:dyDescent="0.25">
      <c r="B90" s="9" t="s">
        <v>26</v>
      </c>
      <c r="C90" s="21"/>
      <c r="D90" s="21"/>
      <c r="E90" s="11"/>
      <c r="F90" s="24"/>
      <c r="G90" s="57"/>
      <c r="H90" s="58"/>
    </row>
    <row r="91" spans="1:38" ht="16.5" thickBot="1" x14ac:dyDescent="0.25">
      <c r="B91" s="9" t="s">
        <v>27</v>
      </c>
      <c r="C91" s="21"/>
      <c r="D91" s="21"/>
      <c r="E91" s="12"/>
      <c r="F91" s="25"/>
      <c r="G91" s="59"/>
      <c r="H91" s="60"/>
    </row>
    <row r="92" spans="1:38" ht="15.75" x14ac:dyDescent="0.2">
      <c r="B92" s="61" t="s">
        <v>28</v>
      </c>
      <c r="C92" s="19"/>
      <c r="D92" s="19"/>
      <c r="E92" s="64"/>
      <c r="F92" s="67"/>
      <c r="G92" s="70"/>
      <c r="H92" s="71"/>
    </row>
    <row r="93" spans="1:38" ht="15.75" x14ac:dyDescent="0.2">
      <c r="B93" s="62"/>
      <c r="C93" s="20"/>
      <c r="D93" s="20"/>
      <c r="E93" s="65"/>
      <c r="F93" s="68"/>
      <c r="G93" s="70"/>
      <c r="H93" s="71"/>
    </row>
    <row r="94" spans="1:38" ht="16.5" thickBot="1" x14ac:dyDescent="0.25">
      <c r="B94" s="63"/>
      <c r="C94" s="9"/>
      <c r="D94" s="9"/>
      <c r="E94" s="66"/>
      <c r="F94" s="69"/>
      <c r="G94" s="72"/>
      <c r="H94" s="73"/>
    </row>
  </sheetData>
  <mergeCells count="24"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  <mergeCell ref="G89:H89"/>
    <mergeCell ref="G90:H90"/>
    <mergeCell ref="G91:H91"/>
    <mergeCell ref="B92:B94"/>
    <mergeCell ref="E92:E94"/>
    <mergeCell ref="F92:F94"/>
    <mergeCell ref="G92:H94"/>
  </mergeCells>
  <conditionalFormatting sqref="AL11:AL85">
    <cfRule type="cellIs" dxfId="5" priority="1" operator="greaterThan">
      <formula>#REF!</formula>
    </cfRule>
    <cfRule type="cellIs" dxfId="4" priority="2" operator="between">
      <formula>11</formula>
      <formula>50</formula>
    </cfRule>
    <cfRule type="cellIs" dxfId="3" priority="3" operator="lessThan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4798-C9F8-4445-8DB2-557793DEB573}">
  <dimension ref="A1:AO102"/>
  <sheetViews>
    <sheetView tabSelected="1" workbookViewId="0">
      <pane xSplit="5" ySplit="10" topLeftCell="F62" activePane="bottomRight" state="frozen"/>
      <selection pane="topRight" activeCell="F1" sqref="F1"/>
      <selection pane="bottomLeft" activeCell="A11" sqref="A11"/>
      <selection pane="bottomRight" activeCell="N70" sqref="N70"/>
    </sheetView>
  </sheetViews>
  <sheetFormatPr defaultRowHeight="15" x14ac:dyDescent="0.25"/>
  <cols>
    <col min="2" max="2" width="12.140625" bestFit="1" customWidth="1"/>
    <col min="3" max="3" width="54.28515625" bestFit="1" customWidth="1"/>
  </cols>
  <sheetData>
    <row r="1" spans="1:41" ht="22.5" x14ac:dyDescent="0.25">
      <c r="E1" s="38" t="s">
        <v>42</v>
      </c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spans="1:41" x14ac:dyDescent="0.25">
      <c r="E2" s="39" t="s">
        <v>43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1"/>
    </row>
    <row r="3" spans="1:41" ht="15.75" x14ac:dyDescent="0.25">
      <c r="E3" s="42" t="s">
        <v>0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</row>
    <row r="4" spans="1:41" x14ac:dyDescent="0.25">
      <c r="E4" s="43" t="s">
        <v>1</v>
      </c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</row>
    <row r="5" spans="1:41" ht="15.75" x14ac:dyDescent="0.25">
      <c r="E5" s="44" t="s">
        <v>2</v>
      </c>
      <c r="F5" s="44"/>
      <c r="G5" s="44"/>
      <c r="H5" s="45" t="s">
        <v>3</v>
      </c>
      <c r="I5" s="46"/>
      <c r="J5" s="47"/>
      <c r="K5" s="48" t="s">
        <v>4</v>
      </c>
      <c r="L5" s="48"/>
      <c r="M5" s="13">
        <v>0</v>
      </c>
      <c r="N5" s="49" t="s">
        <v>5</v>
      </c>
      <c r="O5" s="49"/>
      <c r="P5" s="50"/>
      <c r="Q5" s="51"/>
    </row>
    <row r="6" spans="1:41" ht="15.75" x14ac:dyDescent="0.25">
      <c r="E6" s="44" t="s">
        <v>6</v>
      </c>
      <c r="F6" s="44"/>
      <c r="G6" s="44"/>
      <c r="H6" s="52" t="s">
        <v>7</v>
      </c>
      <c r="I6" s="52"/>
      <c r="J6" s="52"/>
      <c r="K6" s="48" t="s">
        <v>8</v>
      </c>
      <c r="L6" s="48"/>
      <c r="M6" s="53" t="s">
        <v>9</v>
      </c>
      <c r="N6" s="53"/>
      <c r="O6" s="53"/>
      <c r="P6" s="53"/>
      <c r="Q6" s="53"/>
    </row>
    <row r="7" spans="1:41" ht="15.75" x14ac:dyDescent="0.25">
      <c r="E7" s="48" t="s">
        <v>10</v>
      </c>
      <c r="F7" s="48"/>
      <c r="G7" s="48"/>
      <c r="H7" s="54"/>
      <c r="I7" s="54"/>
      <c r="J7" s="54"/>
      <c r="K7" s="48" t="s">
        <v>11</v>
      </c>
      <c r="L7" s="48"/>
      <c r="M7" s="53"/>
      <c r="N7" s="53"/>
      <c r="O7" s="53"/>
      <c r="P7" s="53"/>
      <c r="Q7" s="53"/>
    </row>
    <row r="9" spans="1:41" x14ac:dyDescent="0.25">
      <c r="A9" t="s">
        <v>12</v>
      </c>
    </row>
    <row r="10" spans="1:41" ht="26.25" x14ac:dyDescent="0.25">
      <c r="A10" s="26" t="s">
        <v>13</v>
      </c>
      <c r="B10" s="6" t="s">
        <v>14</v>
      </c>
      <c r="C10" s="6" t="s">
        <v>15</v>
      </c>
      <c r="D10" s="6" t="s">
        <v>16</v>
      </c>
      <c r="E10" s="7" t="s">
        <v>17</v>
      </c>
      <c r="F10" s="15" t="s">
        <v>151</v>
      </c>
      <c r="G10" s="35">
        <v>46113</v>
      </c>
      <c r="H10" s="35">
        <v>46114</v>
      </c>
      <c r="I10" s="35">
        <v>46115</v>
      </c>
      <c r="J10" s="35">
        <v>46116</v>
      </c>
      <c r="K10" s="35">
        <v>46117</v>
      </c>
      <c r="L10" s="35">
        <v>46118</v>
      </c>
      <c r="M10" s="35">
        <v>46119</v>
      </c>
      <c r="N10" s="35">
        <v>46120</v>
      </c>
      <c r="O10" s="35">
        <v>46121</v>
      </c>
      <c r="P10" s="35">
        <v>46122</v>
      </c>
      <c r="Q10" s="35">
        <v>46123</v>
      </c>
      <c r="R10" s="35">
        <v>46124</v>
      </c>
      <c r="S10" s="35">
        <v>46125</v>
      </c>
      <c r="T10" s="35">
        <v>46126</v>
      </c>
      <c r="U10" s="35">
        <v>46127</v>
      </c>
      <c r="V10" s="35">
        <v>46128</v>
      </c>
      <c r="W10" s="35">
        <v>46129</v>
      </c>
      <c r="X10" s="35">
        <v>46130</v>
      </c>
      <c r="Y10" s="35">
        <v>46131</v>
      </c>
      <c r="Z10" s="35">
        <v>46132</v>
      </c>
      <c r="AA10" s="35">
        <v>46133</v>
      </c>
      <c r="AB10" s="35">
        <v>46134</v>
      </c>
      <c r="AC10" s="35">
        <v>46135</v>
      </c>
      <c r="AD10" s="35">
        <v>46136</v>
      </c>
      <c r="AE10" s="35">
        <v>46137</v>
      </c>
      <c r="AF10" s="35">
        <v>46138</v>
      </c>
      <c r="AG10" s="35">
        <v>46139</v>
      </c>
      <c r="AH10" s="35">
        <v>46140</v>
      </c>
      <c r="AI10" s="35">
        <v>46141</v>
      </c>
      <c r="AJ10" s="35">
        <v>46142</v>
      </c>
      <c r="AK10" s="15" t="s">
        <v>152</v>
      </c>
      <c r="AL10" s="5" t="s">
        <v>18</v>
      </c>
      <c r="AM10" s="5" t="s">
        <v>19</v>
      </c>
      <c r="AN10" s="5" t="s">
        <v>20</v>
      </c>
      <c r="AO10" s="17"/>
    </row>
    <row r="11" spans="1:41" x14ac:dyDescent="0.25">
      <c r="A11" s="13" t="s">
        <v>149</v>
      </c>
      <c r="B11" s="22" t="s">
        <v>89</v>
      </c>
      <c r="C11" s="22" t="s">
        <v>29</v>
      </c>
      <c r="D11" s="13"/>
      <c r="E11" s="3" t="s">
        <v>150</v>
      </c>
      <c r="F11" s="15">
        <f>'March 2026'!AL11</f>
        <v>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37">
        <f t="shared" ref="AK11:AK42" si="0">SUM(G11:AJ11)+F11</f>
        <v>0</v>
      </c>
      <c r="AL11">
        <v>2</v>
      </c>
      <c r="AM11">
        <v>0</v>
      </c>
      <c r="AN11">
        <v>3</v>
      </c>
    </row>
    <row r="12" spans="1:41" x14ac:dyDescent="0.25">
      <c r="A12" s="13" t="s">
        <v>149</v>
      </c>
      <c r="B12" s="22" t="s">
        <v>90</v>
      </c>
      <c r="C12" s="22" t="s">
        <v>30</v>
      </c>
      <c r="D12" s="13"/>
      <c r="E12" s="3" t="s">
        <v>150</v>
      </c>
      <c r="F12" s="15">
        <f>'March 2026'!AL12</f>
        <v>0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37">
        <f t="shared" si="0"/>
        <v>0</v>
      </c>
      <c r="AL12">
        <v>2</v>
      </c>
      <c r="AM12">
        <v>0</v>
      </c>
      <c r="AN12">
        <v>3</v>
      </c>
    </row>
    <row r="13" spans="1:41" x14ac:dyDescent="0.25">
      <c r="A13" s="13" t="s">
        <v>146</v>
      </c>
      <c r="B13" s="22" t="s">
        <v>91</v>
      </c>
      <c r="C13" s="22" t="s">
        <v>31</v>
      </c>
      <c r="D13" s="13"/>
      <c r="E13" s="3" t="s">
        <v>150</v>
      </c>
      <c r="F13" s="15">
        <f>'March 2026'!AL13</f>
        <v>457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37">
        <f t="shared" si="0"/>
        <v>457</v>
      </c>
      <c r="AO13" t="s">
        <v>154</v>
      </c>
    </row>
    <row r="14" spans="1:41" x14ac:dyDescent="0.25">
      <c r="A14" s="13" t="s">
        <v>146</v>
      </c>
      <c r="B14" s="22" t="s">
        <v>92</v>
      </c>
      <c r="C14" s="22" t="s">
        <v>32</v>
      </c>
      <c r="D14" s="13"/>
      <c r="E14" s="3" t="s">
        <v>150</v>
      </c>
      <c r="F14" s="15">
        <f>'March 2026'!AL14</f>
        <v>312</v>
      </c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37">
        <f t="shared" si="0"/>
        <v>312</v>
      </c>
      <c r="AO14" t="s">
        <v>154</v>
      </c>
    </row>
    <row r="15" spans="1:41" x14ac:dyDescent="0.25">
      <c r="A15" s="13" t="s">
        <v>146</v>
      </c>
      <c r="B15" s="22" t="s">
        <v>93</v>
      </c>
      <c r="C15" s="22" t="s">
        <v>33</v>
      </c>
      <c r="D15" s="13"/>
      <c r="E15" s="3" t="s">
        <v>150</v>
      </c>
      <c r="F15" s="15">
        <f>'March 2026'!AL15</f>
        <v>1</v>
      </c>
      <c r="G15" s="13"/>
      <c r="H15" s="13"/>
      <c r="I15" s="13"/>
      <c r="J15" s="13"/>
      <c r="K15" s="13"/>
      <c r="L15" s="13"/>
      <c r="M15" s="13"/>
      <c r="N15" s="74">
        <v>1350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4"/>
      <c r="AI15" s="13"/>
      <c r="AJ15" s="13"/>
      <c r="AK15" s="37">
        <f t="shared" si="0"/>
        <v>1351</v>
      </c>
      <c r="AL15">
        <v>180</v>
      </c>
      <c r="AM15">
        <v>300</v>
      </c>
      <c r="AN15">
        <v>1080</v>
      </c>
    </row>
    <row r="16" spans="1:41" x14ac:dyDescent="0.25">
      <c r="A16" s="13" t="s">
        <v>146</v>
      </c>
      <c r="B16" s="22" t="s">
        <v>94</v>
      </c>
      <c r="C16" s="22" t="s">
        <v>34</v>
      </c>
      <c r="D16" s="13"/>
      <c r="E16" s="3" t="s">
        <v>150</v>
      </c>
      <c r="F16" s="15">
        <f>'March 2026'!AL16</f>
        <v>263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37">
        <f t="shared" si="0"/>
        <v>263</v>
      </c>
      <c r="AO16" t="s">
        <v>154</v>
      </c>
    </row>
    <row r="17" spans="1:41" x14ac:dyDescent="0.25">
      <c r="A17" s="13" t="s">
        <v>146</v>
      </c>
      <c r="B17" s="22" t="s">
        <v>95</v>
      </c>
      <c r="C17" s="22" t="s">
        <v>35</v>
      </c>
      <c r="D17" s="13"/>
      <c r="E17" s="3" t="s">
        <v>150</v>
      </c>
      <c r="F17" s="15">
        <f>'March 2026'!AL17</f>
        <v>211</v>
      </c>
      <c r="G17" s="13">
        <v>-27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37">
        <f t="shared" si="0"/>
        <v>184</v>
      </c>
      <c r="AL17">
        <v>50</v>
      </c>
      <c r="AM17">
        <v>75</v>
      </c>
      <c r="AN17">
        <v>250</v>
      </c>
    </row>
    <row r="18" spans="1:41" x14ac:dyDescent="0.25">
      <c r="A18" s="13" t="s">
        <v>146</v>
      </c>
      <c r="B18" s="22" t="s">
        <v>96</v>
      </c>
      <c r="C18" s="22" t="s">
        <v>36</v>
      </c>
      <c r="D18" s="13"/>
      <c r="E18" s="3" t="s">
        <v>150</v>
      </c>
      <c r="F18" s="15">
        <f>'March 2026'!AL18</f>
        <v>0</v>
      </c>
      <c r="G18" s="13"/>
      <c r="H18" s="13"/>
      <c r="I18" s="13"/>
      <c r="J18" s="13"/>
      <c r="K18" s="13"/>
      <c r="L18" s="13"/>
      <c r="M18" s="13"/>
      <c r="N18" s="74">
        <v>300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37">
        <f t="shared" si="0"/>
        <v>300</v>
      </c>
      <c r="AL18">
        <v>50</v>
      </c>
      <c r="AM18">
        <v>75</v>
      </c>
      <c r="AN18">
        <v>300</v>
      </c>
    </row>
    <row r="19" spans="1:41" x14ac:dyDescent="0.25">
      <c r="A19" s="13" t="s">
        <v>146</v>
      </c>
      <c r="B19" s="22" t="s">
        <v>97</v>
      </c>
      <c r="C19" s="22" t="s">
        <v>37</v>
      </c>
      <c r="D19" s="13"/>
      <c r="E19" s="3" t="s">
        <v>150</v>
      </c>
      <c r="F19" s="15">
        <f>'March 2026'!AL19</f>
        <v>19</v>
      </c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37">
        <f t="shared" si="0"/>
        <v>19</v>
      </c>
      <c r="AO19" t="s">
        <v>154</v>
      </c>
    </row>
    <row r="20" spans="1:41" x14ac:dyDescent="0.25">
      <c r="A20" s="13"/>
      <c r="B20" s="22" t="s">
        <v>98</v>
      </c>
      <c r="C20" s="22" t="s">
        <v>38</v>
      </c>
      <c r="D20" s="13"/>
      <c r="E20" s="3" t="s">
        <v>150</v>
      </c>
      <c r="F20" s="15">
        <f>'March 2026'!AL20</f>
        <v>505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37">
        <f t="shared" si="0"/>
        <v>505</v>
      </c>
      <c r="AO20" t="s">
        <v>154</v>
      </c>
    </row>
    <row r="21" spans="1:41" x14ac:dyDescent="0.25">
      <c r="A21" s="13" t="s">
        <v>146</v>
      </c>
      <c r="B21" s="22" t="s">
        <v>99</v>
      </c>
      <c r="C21" s="22" t="s">
        <v>39</v>
      </c>
      <c r="D21" s="13"/>
      <c r="E21" s="3" t="s">
        <v>150</v>
      </c>
      <c r="F21" s="15">
        <f>'March 2026'!AL21</f>
        <v>25</v>
      </c>
      <c r="G21" s="13"/>
      <c r="H21" s="13"/>
      <c r="I21" s="13">
        <v>-25</v>
      </c>
      <c r="J21" s="13"/>
      <c r="K21" s="13"/>
      <c r="L21" s="13"/>
      <c r="M21" s="13"/>
      <c r="N21" s="74">
        <v>300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37">
        <f t="shared" si="0"/>
        <v>300</v>
      </c>
      <c r="AL21">
        <v>50</v>
      </c>
      <c r="AM21">
        <v>75</v>
      </c>
      <c r="AN21">
        <v>300</v>
      </c>
    </row>
    <row r="22" spans="1:41" x14ac:dyDescent="0.25">
      <c r="A22" s="13" t="s">
        <v>146</v>
      </c>
      <c r="B22" s="22" t="s">
        <v>100</v>
      </c>
      <c r="C22" s="22" t="s">
        <v>40</v>
      </c>
      <c r="D22" s="13"/>
      <c r="E22" s="3" t="s">
        <v>150</v>
      </c>
      <c r="F22" s="15">
        <f>'March 2026'!AL22</f>
        <v>22</v>
      </c>
      <c r="G22" s="13"/>
      <c r="H22" s="13"/>
      <c r="I22" s="13">
        <v>-23</v>
      </c>
      <c r="J22" s="13"/>
      <c r="K22" s="13"/>
      <c r="L22" s="13"/>
      <c r="M22" s="13"/>
      <c r="N22" s="74">
        <v>300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37">
        <f t="shared" si="0"/>
        <v>299</v>
      </c>
      <c r="AL22">
        <v>150</v>
      </c>
      <c r="AM22">
        <v>250</v>
      </c>
      <c r="AN22">
        <v>450</v>
      </c>
    </row>
    <row r="23" spans="1:41" x14ac:dyDescent="0.25">
      <c r="A23" s="13"/>
      <c r="B23" s="22" t="s">
        <v>101</v>
      </c>
      <c r="C23" s="22" t="s">
        <v>41</v>
      </c>
      <c r="D23" s="13"/>
      <c r="E23" s="3" t="s">
        <v>150</v>
      </c>
      <c r="F23" s="15">
        <f>'March 2026'!AL23</f>
        <v>107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37">
        <f t="shared" si="0"/>
        <v>107</v>
      </c>
      <c r="AL23">
        <v>25</v>
      </c>
      <c r="AM23">
        <v>50</v>
      </c>
      <c r="AN23">
        <v>125</v>
      </c>
    </row>
    <row r="24" spans="1:41" x14ac:dyDescent="0.25">
      <c r="A24" s="13" t="s">
        <v>147</v>
      </c>
      <c r="B24" s="22" t="s">
        <v>102</v>
      </c>
      <c r="C24" s="22" t="s">
        <v>44</v>
      </c>
      <c r="D24" s="13"/>
      <c r="E24" s="3" t="s">
        <v>150</v>
      </c>
      <c r="F24" s="15">
        <f>'March 2026'!AL24</f>
        <v>48</v>
      </c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37">
        <f t="shared" si="0"/>
        <v>48</v>
      </c>
    </row>
    <row r="25" spans="1:41" x14ac:dyDescent="0.25">
      <c r="A25" s="13" t="s">
        <v>147</v>
      </c>
      <c r="B25" s="22" t="s">
        <v>103</v>
      </c>
      <c r="C25" s="22" t="s">
        <v>45</v>
      </c>
      <c r="D25" s="13"/>
      <c r="E25" s="3" t="s">
        <v>150</v>
      </c>
      <c r="F25" s="15">
        <f>'March 2026'!AL25</f>
        <v>14</v>
      </c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37">
        <f t="shared" si="0"/>
        <v>14</v>
      </c>
    </row>
    <row r="26" spans="1:41" x14ac:dyDescent="0.25">
      <c r="A26" s="13" t="s">
        <v>147</v>
      </c>
      <c r="B26" s="22" t="s">
        <v>104</v>
      </c>
      <c r="C26" s="22" t="s">
        <v>46</v>
      </c>
      <c r="D26" s="13"/>
      <c r="E26" s="3" t="s">
        <v>150</v>
      </c>
      <c r="F26" s="15">
        <f>'March 2026'!AL26</f>
        <v>16</v>
      </c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37">
        <f t="shared" si="0"/>
        <v>16</v>
      </c>
    </row>
    <row r="27" spans="1:41" x14ac:dyDescent="0.25">
      <c r="A27" s="13" t="s">
        <v>147</v>
      </c>
      <c r="B27" s="22" t="s">
        <v>105</v>
      </c>
      <c r="C27" s="22" t="s">
        <v>47</v>
      </c>
      <c r="D27" s="13"/>
      <c r="E27" s="3" t="s">
        <v>150</v>
      </c>
      <c r="F27" s="15">
        <f>'March 2026'!AL27</f>
        <v>0</v>
      </c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37">
        <f t="shared" si="0"/>
        <v>0</v>
      </c>
    </row>
    <row r="28" spans="1:41" x14ac:dyDescent="0.25">
      <c r="A28" s="13" t="s">
        <v>147</v>
      </c>
      <c r="B28" s="22" t="s">
        <v>106</v>
      </c>
      <c r="C28" s="22" t="s">
        <v>48</v>
      </c>
      <c r="D28" s="13"/>
      <c r="E28" s="3" t="s">
        <v>150</v>
      </c>
      <c r="F28" s="15">
        <f>'March 2026'!AL28</f>
        <v>0</v>
      </c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37">
        <f t="shared" si="0"/>
        <v>0</v>
      </c>
    </row>
    <row r="29" spans="1:41" x14ac:dyDescent="0.25">
      <c r="A29" s="13" t="s">
        <v>147</v>
      </c>
      <c r="B29" s="22" t="s">
        <v>107</v>
      </c>
      <c r="C29" s="22" t="s">
        <v>49</v>
      </c>
      <c r="D29" s="13"/>
      <c r="E29" s="3" t="s">
        <v>150</v>
      </c>
      <c r="F29" s="15">
        <f>'March 2026'!AL29</f>
        <v>0</v>
      </c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37">
        <f t="shared" si="0"/>
        <v>0</v>
      </c>
    </row>
    <row r="30" spans="1:41" x14ac:dyDescent="0.25">
      <c r="A30" s="13" t="s">
        <v>148</v>
      </c>
      <c r="B30" s="22" t="s">
        <v>108</v>
      </c>
      <c r="C30" s="22" t="s">
        <v>50</v>
      </c>
      <c r="D30" s="13"/>
      <c r="E30" s="3" t="s">
        <v>150</v>
      </c>
      <c r="F30" s="15">
        <f>'March 2026'!AL30</f>
        <v>8</v>
      </c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37">
        <f t="shared" si="0"/>
        <v>8</v>
      </c>
    </row>
    <row r="31" spans="1:41" x14ac:dyDescent="0.25">
      <c r="A31" s="13" t="s">
        <v>148</v>
      </c>
      <c r="B31" s="22" t="s">
        <v>109</v>
      </c>
      <c r="C31" s="22" t="s">
        <v>51</v>
      </c>
      <c r="D31" s="13"/>
      <c r="E31" s="3" t="s">
        <v>150</v>
      </c>
      <c r="F31" s="15">
        <f>'March 2026'!AL31</f>
        <v>0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37">
        <f t="shared" si="0"/>
        <v>0</v>
      </c>
    </row>
    <row r="32" spans="1:41" x14ac:dyDescent="0.25">
      <c r="A32" s="13" t="s">
        <v>148</v>
      </c>
      <c r="B32" s="22" t="s">
        <v>110</v>
      </c>
      <c r="C32" s="22" t="s">
        <v>52</v>
      </c>
      <c r="D32" s="13"/>
      <c r="E32" s="3" t="s">
        <v>150</v>
      </c>
      <c r="F32" s="15">
        <f>'March 2026'!AL32</f>
        <v>2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37">
        <f t="shared" si="0"/>
        <v>2</v>
      </c>
    </row>
    <row r="33" spans="1:41" x14ac:dyDescent="0.25">
      <c r="A33" s="13" t="s">
        <v>148</v>
      </c>
      <c r="B33" s="22" t="s">
        <v>111</v>
      </c>
      <c r="C33" s="22" t="s">
        <v>53</v>
      </c>
      <c r="D33" s="13"/>
      <c r="E33" s="3" t="s">
        <v>150</v>
      </c>
      <c r="F33" s="15">
        <f>'March 2026'!AL33</f>
        <v>0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37">
        <f t="shared" si="0"/>
        <v>0</v>
      </c>
    </row>
    <row r="34" spans="1:41" x14ac:dyDescent="0.25">
      <c r="A34" s="13" t="s">
        <v>148</v>
      </c>
      <c r="B34" s="22" t="s">
        <v>112</v>
      </c>
      <c r="C34" s="22" t="s">
        <v>54</v>
      </c>
      <c r="D34" s="13"/>
      <c r="E34" s="3" t="s">
        <v>150</v>
      </c>
      <c r="F34" s="15">
        <f>'March 2026'!AL34</f>
        <v>4</v>
      </c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37">
        <f t="shared" si="0"/>
        <v>4</v>
      </c>
    </row>
    <row r="35" spans="1:41" x14ac:dyDescent="0.25">
      <c r="A35" s="13" t="s">
        <v>148</v>
      </c>
      <c r="B35" s="22" t="s">
        <v>113</v>
      </c>
      <c r="C35" s="22" t="s">
        <v>55</v>
      </c>
      <c r="D35" s="13"/>
      <c r="E35" s="3" t="s">
        <v>150</v>
      </c>
      <c r="F35" s="15">
        <f>'March 2026'!AL35</f>
        <v>0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37">
        <f t="shared" si="0"/>
        <v>0</v>
      </c>
    </row>
    <row r="36" spans="1:41" x14ac:dyDescent="0.25">
      <c r="A36" s="13" t="s">
        <v>148</v>
      </c>
      <c r="B36" s="22" t="s">
        <v>114</v>
      </c>
      <c r="C36" s="22" t="s">
        <v>56</v>
      </c>
      <c r="D36" s="13"/>
      <c r="E36" s="3" t="s">
        <v>150</v>
      </c>
      <c r="F36" s="15">
        <f>'March 2026'!AL36</f>
        <v>0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37">
        <f t="shared" si="0"/>
        <v>0</v>
      </c>
    </row>
    <row r="37" spans="1:41" x14ac:dyDescent="0.25">
      <c r="A37" s="13" t="s">
        <v>148</v>
      </c>
      <c r="B37" s="22" t="s">
        <v>115</v>
      </c>
      <c r="C37" s="22" t="s">
        <v>57</v>
      </c>
      <c r="D37" s="13"/>
      <c r="E37" s="3" t="s">
        <v>150</v>
      </c>
      <c r="F37" s="15">
        <f>'March 2026'!AL37</f>
        <v>3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3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37">
        <f t="shared" si="0"/>
        <v>3</v>
      </c>
    </row>
    <row r="38" spans="1:41" x14ac:dyDescent="0.25">
      <c r="A38" s="13" t="s">
        <v>148</v>
      </c>
      <c r="B38" s="22" t="s">
        <v>116</v>
      </c>
      <c r="C38" s="22" t="s">
        <v>58</v>
      </c>
      <c r="D38" s="13"/>
      <c r="E38" s="3" t="s">
        <v>150</v>
      </c>
      <c r="F38" s="15">
        <f>'March 2026'!AL38</f>
        <v>67</v>
      </c>
      <c r="G38" s="13">
        <v>-16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37">
        <f t="shared" si="0"/>
        <v>51</v>
      </c>
    </row>
    <row r="39" spans="1:41" x14ac:dyDescent="0.25">
      <c r="A39" s="13" t="s">
        <v>148</v>
      </c>
      <c r="B39" s="22" t="s">
        <v>117</v>
      </c>
      <c r="C39" s="22" t="s">
        <v>59</v>
      </c>
      <c r="D39" s="13"/>
      <c r="E39" s="3" t="s">
        <v>150</v>
      </c>
      <c r="F39" s="15">
        <f>'March 2026'!AL39</f>
        <v>0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37">
        <f t="shared" si="0"/>
        <v>0</v>
      </c>
    </row>
    <row r="40" spans="1:41" x14ac:dyDescent="0.25">
      <c r="A40" s="13" t="s">
        <v>148</v>
      </c>
      <c r="B40" s="22" t="s">
        <v>118</v>
      </c>
      <c r="C40" s="22" t="s">
        <v>60</v>
      </c>
      <c r="D40" s="13"/>
      <c r="E40" s="3" t="s">
        <v>150</v>
      </c>
      <c r="F40" s="15">
        <f>'March 2026'!AL40</f>
        <v>0</v>
      </c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37">
        <f t="shared" si="0"/>
        <v>0</v>
      </c>
    </row>
    <row r="41" spans="1:41" x14ac:dyDescent="0.25">
      <c r="A41" s="13" t="s">
        <v>148</v>
      </c>
      <c r="B41" s="22" t="s">
        <v>119</v>
      </c>
      <c r="C41" s="22" t="s">
        <v>61</v>
      </c>
      <c r="D41" s="13"/>
      <c r="E41" s="3" t="s">
        <v>150</v>
      </c>
      <c r="F41" s="15">
        <f>'March 2026'!AL41</f>
        <v>1</v>
      </c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37">
        <f t="shared" si="0"/>
        <v>1</v>
      </c>
    </row>
    <row r="42" spans="1:41" x14ac:dyDescent="0.25">
      <c r="A42" s="13" t="s">
        <v>148</v>
      </c>
      <c r="B42" s="22" t="s">
        <v>120</v>
      </c>
      <c r="C42" s="22" t="s">
        <v>62</v>
      </c>
      <c r="D42" s="13"/>
      <c r="E42" s="3" t="s">
        <v>150</v>
      </c>
      <c r="F42" s="15">
        <f>'March 2026'!AL42</f>
        <v>141</v>
      </c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37">
        <f t="shared" si="0"/>
        <v>141</v>
      </c>
    </row>
    <row r="43" spans="1:41" x14ac:dyDescent="0.25">
      <c r="A43" s="13" t="s">
        <v>146</v>
      </c>
      <c r="B43" s="22" t="s">
        <v>90</v>
      </c>
      <c r="C43" s="22" t="s">
        <v>63</v>
      </c>
      <c r="D43" s="13"/>
      <c r="E43" s="3" t="s">
        <v>150</v>
      </c>
      <c r="F43" s="15">
        <f>'March 2026'!AL43</f>
        <v>31</v>
      </c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37">
        <f t="shared" ref="AK43:AK69" si="1">SUM(G43:AJ43)+F43</f>
        <v>31</v>
      </c>
      <c r="AO43" t="s">
        <v>154</v>
      </c>
    </row>
    <row r="44" spans="1:41" x14ac:dyDescent="0.25">
      <c r="A44" s="13" t="s">
        <v>146</v>
      </c>
      <c r="B44" s="22" t="s">
        <v>121</v>
      </c>
      <c r="C44" s="22" t="s">
        <v>64</v>
      </c>
      <c r="D44" s="13"/>
      <c r="E44" s="3" t="s">
        <v>150</v>
      </c>
      <c r="F44" s="15">
        <f>'March 2026'!AL44</f>
        <v>18</v>
      </c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37">
        <f t="shared" si="1"/>
        <v>18</v>
      </c>
      <c r="AO44" t="s">
        <v>154</v>
      </c>
    </row>
    <row r="45" spans="1:41" x14ac:dyDescent="0.25">
      <c r="A45" s="13" t="s">
        <v>146</v>
      </c>
      <c r="B45" s="22" t="s">
        <v>122</v>
      </c>
      <c r="C45" s="22" t="s">
        <v>65</v>
      </c>
      <c r="D45" s="13"/>
      <c r="E45" s="3" t="s">
        <v>150</v>
      </c>
      <c r="F45" s="15">
        <f>'March 2026'!AL45</f>
        <v>18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37">
        <f t="shared" si="1"/>
        <v>18</v>
      </c>
      <c r="AO45" t="s">
        <v>154</v>
      </c>
    </row>
    <row r="46" spans="1:41" x14ac:dyDescent="0.25">
      <c r="A46" s="13"/>
      <c r="B46" s="22" t="s">
        <v>123</v>
      </c>
      <c r="C46" s="22" t="s">
        <v>66</v>
      </c>
      <c r="D46" s="13"/>
      <c r="E46" s="3" t="s">
        <v>150</v>
      </c>
      <c r="F46" s="15">
        <f>'March 2026'!AL46</f>
        <v>24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37">
        <f t="shared" si="1"/>
        <v>24</v>
      </c>
      <c r="AO46" t="s">
        <v>154</v>
      </c>
    </row>
    <row r="47" spans="1:41" x14ac:dyDescent="0.25">
      <c r="A47" s="13"/>
      <c r="B47" s="22" t="s">
        <v>124</v>
      </c>
      <c r="C47" s="22" t="s">
        <v>67</v>
      </c>
      <c r="D47" s="13"/>
      <c r="E47" s="3" t="s">
        <v>150</v>
      </c>
      <c r="F47" s="15">
        <f>'March 2026'!AL47</f>
        <v>19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37">
        <f t="shared" si="1"/>
        <v>19</v>
      </c>
      <c r="AO47" t="s">
        <v>154</v>
      </c>
    </row>
    <row r="48" spans="1:41" x14ac:dyDescent="0.25">
      <c r="A48" s="13"/>
      <c r="B48" s="22" t="s">
        <v>125</v>
      </c>
      <c r="C48" s="22" t="s">
        <v>68</v>
      </c>
      <c r="D48" s="13"/>
      <c r="E48" s="3" t="s">
        <v>150</v>
      </c>
      <c r="F48" s="15">
        <f>'March 2026'!AL48</f>
        <v>17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37">
        <f t="shared" si="1"/>
        <v>17</v>
      </c>
      <c r="AO48" t="s">
        <v>154</v>
      </c>
    </row>
    <row r="49" spans="1:41" x14ac:dyDescent="0.25">
      <c r="A49" s="13" t="s">
        <v>146</v>
      </c>
      <c r="B49" s="22" t="s">
        <v>126</v>
      </c>
      <c r="C49" s="22" t="s">
        <v>69</v>
      </c>
      <c r="D49" s="13"/>
      <c r="E49" s="3" t="s">
        <v>150</v>
      </c>
      <c r="F49" s="15">
        <f>'March 2026'!AL49</f>
        <v>54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7">
        <f t="shared" si="1"/>
        <v>54</v>
      </c>
      <c r="AO49" t="s">
        <v>154</v>
      </c>
    </row>
    <row r="50" spans="1:41" x14ac:dyDescent="0.25">
      <c r="A50" s="13"/>
      <c r="B50" s="22" t="s">
        <v>127</v>
      </c>
      <c r="C50" s="22" t="s">
        <v>70</v>
      </c>
      <c r="D50" s="13"/>
      <c r="E50" s="3" t="s">
        <v>150</v>
      </c>
      <c r="F50" s="15">
        <f>'March 2026'!AL50</f>
        <v>5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7">
        <f t="shared" si="1"/>
        <v>5</v>
      </c>
      <c r="AO50" t="s">
        <v>154</v>
      </c>
    </row>
    <row r="51" spans="1:41" x14ac:dyDescent="0.25">
      <c r="A51" s="13"/>
      <c r="B51" s="22" t="s">
        <v>128</v>
      </c>
      <c r="C51" s="22" t="s">
        <v>71</v>
      </c>
      <c r="D51" s="13"/>
      <c r="E51" s="3" t="s">
        <v>150</v>
      </c>
      <c r="F51" s="15">
        <f>'March 2026'!AL51</f>
        <v>64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7">
        <f t="shared" si="1"/>
        <v>64</v>
      </c>
      <c r="AL51">
        <v>10</v>
      </c>
      <c r="AM51">
        <v>15</v>
      </c>
      <c r="AN51">
        <v>50</v>
      </c>
    </row>
    <row r="52" spans="1:41" x14ac:dyDescent="0.25">
      <c r="A52" s="13"/>
      <c r="B52" s="22" t="s">
        <v>129</v>
      </c>
      <c r="C52" s="22" t="s">
        <v>72</v>
      </c>
      <c r="D52" s="13"/>
      <c r="E52" s="3" t="s">
        <v>150</v>
      </c>
      <c r="F52" s="15">
        <f>'March 2026'!AL52</f>
        <v>52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7">
        <f t="shared" si="1"/>
        <v>52</v>
      </c>
      <c r="AO52" t="s">
        <v>154</v>
      </c>
    </row>
    <row r="53" spans="1:41" x14ac:dyDescent="0.25">
      <c r="A53" s="13" t="s">
        <v>146</v>
      </c>
      <c r="B53" s="22" t="s">
        <v>130</v>
      </c>
      <c r="C53" s="22" t="s">
        <v>73</v>
      </c>
      <c r="D53" s="13"/>
      <c r="E53" s="3" t="s">
        <v>150</v>
      </c>
      <c r="F53" s="15">
        <f>'March 2026'!AL53</f>
        <v>0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7">
        <f t="shared" si="1"/>
        <v>0</v>
      </c>
      <c r="AL53">
        <v>50</v>
      </c>
      <c r="AM53">
        <v>75</v>
      </c>
      <c r="AN53">
        <v>300</v>
      </c>
    </row>
    <row r="54" spans="1:41" x14ac:dyDescent="0.25">
      <c r="A54" s="13" t="s">
        <v>146</v>
      </c>
      <c r="B54" s="22" t="s">
        <v>131</v>
      </c>
      <c r="C54" s="22" t="s">
        <v>74</v>
      </c>
      <c r="D54" s="13"/>
      <c r="E54" s="3" t="s">
        <v>150</v>
      </c>
      <c r="F54" s="15">
        <f>'March 2026'!AL54</f>
        <v>110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7">
        <f t="shared" si="1"/>
        <v>110</v>
      </c>
      <c r="AL54">
        <v>25</v>
      </c>
      <c r="AM54">
        <v>50</v>
      </c>
      <c r="AN54">
        <v>200</v>
      </c>
    </row>
    <row r="55" spans="1:41" x14ac:dyDescent="0.25">
      <c r="A55" s="13" t="s">
        <v>146</v>
      </c>
      <c r="B55" s="22" t="s">
        <v>132</v>
      </c>
      <c r="C55" s="22" t="s">
        <v>75</v>
      </c>
      <c r="D55" s="13"/>
      <c r="E55" s="3" t="s">
        <v>150</v>
      </c>
      <c r="F55" s="15">
        <f>'March 2026'!AL55</f>
        <v>166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7">
        <f t="shared" si="1"/>
        <v>166</v>
      </c>
      <c r="AL55">
        <v>25</v>
      </c>
      <c r="AM55">
        <v>50</v>
      </c>
      <c r="AN55">
        <v>200</v>
      </c>
    </row>
    <row r="56" spans="1:41" x14ac:dyDescent="0.25">
      <c r="A56" s="13"/>
      <c r="B56" s="22" t="s">
        <v>133</v>
      </c>
      <c r="C56" s="22" t="s">
        <v>155</v>
      </c>
      <c r="D56" s="13"/>
      <c r="E56" s="3" t="s">
        <v>150</v>
      </c>
      <c r="F56" s="15">
        <f>'March 2026'!AL56</f>
        <v>0</v>
      </c>
      <c r="G56" s="32"/>
      <c r="H56" s="32"/>
      <c r="I56" s="32"/>
      <c r="J56" s="32"/>
      <c r="K56" s="32"/>
      <c r="L56" s="32"/>
      <c r="M56" s="32"/>
      <c r="N56" s="74">
        <v>50</v>
      </c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7">
        <f t="shared" si="1"/>
        <v>50</v>
      </c>
      <c r="AL56">
        <v>10</v>
      </c>
      <c r="AM56">
        <v>15</v>
      </c>
      <c r="AN56">
        <v>50</v>
      </c>
    </row>
    <row r="57" spans="1:41" x14ac:dyDescent="0.25">
      <c r="A57" s="13"/>
      <c r="B57" s="22" t="s">
        <v>134</v>
      </c>
      <c r="C57" s="22" t="s">
        <v>77</v>
      </c>
      <c r="D57" s="13"/>
      <c r="E57" s="3" t="s">
        <v>150</v>
      </c>
      <c r="F57" s="15">
        <f>'March 2026'!AL57</f>
        <v>0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7">
        <f t="shared" si="1"/>
        <v>0</v>
      </c>
    </row>
    <row r="58" spans="1:41" x14ac:dyDescent="0.25">
      <c r="A58" s="13" t="s">
        <v>146</v>
      </c>
      <c r="B58" s="22" t="s">
        <v>135</v>
      </c>
      <c r="C58" s="22" t="s">
        <v>78</v>
      </c>
      <c r="D58" s="13"/>
      <c r="E58" s="3" t="s">
        <v>150</v>
      </c>
      <c r="F58" s="15">
        <f>'March 2026'!AL58</f>
        <v>15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7">
        <f t="shared" si="1"/>
        <v>15</v>
      </c>
    </row>
    <row r="59" spans="1:41" x14ac:dyDescent="0.25">
      <c r="A59" s="13" t="s">
        <v>146</v>
      </c>
      <c r="B59" s="22" t="s">
        <v>136</v>
      </c>
      <c r="C59" s="22" t="s">
        <v>79</v>
      </c>
      <c r="D59" s="13"/>
      <c r="E59" s="3" t="s">
        <v>150</v>
      </c>
      <c r="F59" s="15">
        <f>'March 2026'!AL59</f>
        <v>24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6"/>
      <c r="AB59" s="32"/>
      <c r="AC59" s="32"/>
      <c r="AD59" s="32"/>
      <c r="AE59" s="32"/>
      <c r="AF59" s="32"/>
      <c r="AG59" s="32"/>
      <c r="AH59" s="32"/>
      <c r="AI59" s="32"/>
      <c r="AJ59" s="32"/>
      <c r="AK59" s="37">
        <f t="shared" si="1"/>
        <v>24</v>
      </c>
    </row>
    <row r="60" spans="1:41" x14ac:dyDescent="0.25">
      <c r="A60" s="13" t="s">
        <v>146</v>
      </c>
      <c r="B60" s="22" t="s">
        <v>137</v>
      </c>
      <c r="C60" s="22" t="s">
        <v>80</v>
      </c>
      <c r="D60" s="13"/>
      <c r="E60" s="3" t="s">
        <v>150</v>
      </c>
      <c r="F60" s="15">
        <f>'March 2026'!AL60</f>
        <v>16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7">
        <f t="shared" si="1"/>
        <v>16</v>
      </c>
    </row>
    <row r="61" spans="1:41" x14ac:dyDescent="0.25">
      <c r="A61" s="13"/>
      <c r="B61" s="22" t="s">
        <v>138</v>
      </c>
      <c r="C61" s="22" t="s">
        <v>81</v>
      </c>
      <c r="D61" s="13"/>
      <c r="E61" s="3" t="s">
        <v>150</v>
      </c>
      <c r="F61" s="15">
        <f>'March 2026'!AL61</f>
        <v>0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7">
        <f t="shared" si="1"/>
        <v>0</v>
      </c>
    </row>
    <row r="62" spans="1:41" x14ac:dyDescent="0.25">
      <c r="A62" s="13" t="s">
        <v>146</v>
      </c>
      <c r="B62" s="22" t="s">
        <v>139</v>
      </c>
      <c r="C62" s="22" t="s">
        <v>82</v>
      </c>
      <c r="D62" s="13"/>
      <c r="E62" s="3" t="s">
        <v>150</v>
      </c>
      <c r="F62" s="15">
        <f>'March 2026'!AL62</f>
        <v>9</v>
      </c>
      <c r="G62" s="32"/>
      <c r="H62" s="32"/>
      <c r="I62" s="32"/>
      <c r="J62" s="32"/>
      <c r="K62" s="32"/>
      <c r="L62" s="32">
        <v>-9</v>
      </c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7">
        <f t="shared" si="1"/>
        <v>0</v>
      </c>
    </row>
    <row r="63" spans="1:41" x14ac:dyDescent="0.25">
      <c r="A63" s="13"/>
      <c r="B63" s="22" t="s">
        <v>140</v>
      </c>
      <c r="C63" s="22" t="s">
        <v>83</v>
      </c>
      <c r="D63" s="13"/>
      <c r="E63" s="3" t="s">
        <v>150</v>
      </c>
      <c r="F63" s="15">
        <f>'March 2026'!AL63</f>
        <v>3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7">
        <f t="shared" si="1"/>
        <v>3</v>
      </c>
    </row>
    <row r="64" spans="1:41" x14ac:dyDescent="0.25">
      <c r="A64" s="13"/>
      <c r="B64" s="22" t="s">
        <v>141</v>
      </c>
      <c r="C64" s="22" t="s">
        <v>84</v>
      </c>
      <c r="D64" s="13"/>
      <c r="E64" s="3" t="s">
        <v>150</v>
      </c>
      <c r="F64" s="15">
        <f>'March 2026'!AL64</f>
        <v>0</v>
      </c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7">
        <f t="shared" si="1"/>
        <v>0</v>
      </c>
    </row>
    <row r="65" spans="1:40" x14ac:dyDescent="0.25">
      <c r="A65" s="13" t="s">
        <v>146</v>
      </c>
      <c r="B65" s="22" t="s">
        <v>142</v>
      </c>
      <c r="C65" s="22" t="s">
        <v>85</v>
      </c>
      <c r="D65" s="13"/>
      <c r="E65" s="3" t="s">
        <v>150</v>
      </c>
      <c r="F65" s="15">
        <f>'March 2026'!AL65</f>
        <v>115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7">
        <f t="shared" si="1"/>
        <v>115</v>
      </c>
    </row>
    <row r="66" spans="1:40" x14ac:dyDescent="0.25">
      <c r="A66" s="13" t="s">
        <v>146</v>
      </c>
      <c r="B66" s="22" t="s">
        <v>143</v>
      </c>
      <c r="C66" s="22" t="s">
        <v>86</v>
      </c>
      <c r="D66" s="13"/>
      <c r="E66" s="3" t="s">
        <v>150</v>
      </c>
      <c r="F66" s="15">
        <f>'March 2026'!AL66</f>
        <v>48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14"/>
      <c r="AI66" s="32"/>
      <c r="AJ66" s="32"/>
      <c r="AK66" s="37">
        <f t="shared" si="1"/>
        <v>48</v>
      </c>
    </row>
    <row r="67" spans="1:40" x14ac:dyDescent="0.25">
      <c r="A67" s="13" t="s">
        <v>146</v>
      </c>
      <c r="B67" s="22" t="s">
        <v>144</v>
      </c>
      <c r="C67" s="22" t="s">
        <v>87</v>
      </c>
      <c r="D67" s="13"/>
      <c r="E67" s="3" t="s">
        <v>150</v>
      </c>
      <c r="F67" s="15">
        <f>'March 2026'!AL67</f>
        <v>32</v>
      </c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14"/>
      <c r="AI67" s="32"/>
      <c r="AJ67" s="32"/>
      <c r="AK67" s="37">
        <f t="shared" si="1"/>
        <v>32</v>
      </c>
      <c r="AL67">
        <v>20</v>
      </c>
      <c r="AM67">
        <v>30</v>
      </c>
      <c r="AN67">
        <v>150</v>
      </c>
    </row>
    <row r="68" spans="1:40" x14ac:dyDescent="0.25">
      <c r="A68" s="13" t="s">
        <v>146</v>
      </c>
      <c r="B68" s="22" t="s">
        <v>145</v>
      </c>
      <c r="C68" s="22" t="s">
        <v>88</v>
      </c>
      <c r="D68" s="13"/>
      <c r="E68" s="3" t="s">
        <v>150</v>
      </c>
      <c r="F68" s="15">
        <f>'March 2026'!AL68</f>
        <v>0</v>
      </c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14"/>
      <c r="AI68" s="32"/>
      <c r="AJ68" s="32"/>
      <c r="AK68" s="37">
        <f t="shared" si="1"/>
        <v>0</v>
      </c>
      <c r="AL68">
        <v>50</v>
      </c>
      <c r="AM68">
        <v>75</v>
      </c>
      <c r="AN68">
        <v>300</v>
      </c>
    </row>
    <row r="69" spans="1:40" x14ac:dyDescent="0.25">
      <c r="A69" s="13"/>
      <c r="B69" s="13"/>
      <c r="C69" s="13" t="s">
        <v>156</v>
      </c>
      <c r="D69" s="13"/>
      <c r="E69" s="3" t="s">
        <v>150</v>
      </c>
      <c r="F69" s="13"/>
      <c r="G69" s="32"/>
      <c r="H69" s="32"/>
      <c r="I69" s="32"/>
      <c r="J69" s="32"/>
      <c r="K69" s="32"/>
      <c r="L69" s="32"/>
      <c r="M69" s="32"/>
      <c r="N69" s="74">
        <v>100</v>
      </c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7">
        <f t="shared" si="1"/>
        <v>100</v>
      </c>
    </row>
    <row r="70" spans="1:40" x14ac:dyDescent="0.25">
      <c r="A70" s="13"/>
      <c r="B70" s="13"/>
      <c r="C70" s="13"/>
      <c r="D70" s="13"/>
      <c r="E70" s="13"/>
      <c r="F70" s="13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7"/>
    </row>
    <row r="71" spans="1:40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27"/>
    </row>
    <row r="72" spans="1:40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27"/>
    </row>
    <row r="73" spans="1:40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27"/>
    </row>
    <row r="74" spans="1:40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27"/>
    </row>
    <row r="75" spans="1:40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27"/>
    </row>
    <row r="76" spans="1:40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27">
        <f t="shared" ref="AK76:AK85" si="2">F76+SUM(G76:AJ76)</f>
        <v>0</v>
      </c>
    </row>
    <row r="77" spans="1:40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27">
        <f t="shared" si="2"/>
        <v>0</v>
      </c>
    </row>
    <row r="78" spans="1:40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27">
        <f t="shared" si="2"/>
        <v>0</v>
      </c>
    </row>
    <row r="79" spans="1:40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27">
        <f t="shared" si="2"/>
        <v>0</v>
      </c>
    </row>
    <row r="80" spans="1:40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27">
        <f t="shared" si="2"/>
        <v>0</v>
      </c>
    </row>
    <row r="81" spans="1:4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27">
        <f t="shared" si="2"/>
        <v>0</v>
      </c>
    </row>
    <row r="82" spans="1:4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27">
        <f t="shared" si="2"/>
        <v>0</v>
      </c>
    </row>
    <row r="83" spans="1:4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27">
        <f t="shared" si="2"/>
        <v>0</v>
      </c>
    </row>
    <row r="84" spans="1:4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27">
        <f t="shared" si="2"/>
        <v>0</v>
      </c>
    </row>
    <row r="85" spans="1:4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27">
        <f t="shared" si="2"/>
        <v>0</v>
      </c>
    </row>
    <row r="86" spans="1:41" x14ac:dyDescent="0.25">
      <c r="A86" s="3"/>
      <c r="B86" s="30"/>
      <c r="C86" s="30"/>
      <c r="D86" s="30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1"/>
      <c r="AL86" s="1"/>
      <c r="AM86" s="1"/>
      <c r="AN86" s="1"/>
      <c r="AO86" s="1"/>
    </row>
    <row r="87" spans="1:41" x14ac:dyDescent="0.25">
      <c r="A87" s="3"/>
      <c r="B87" s="30"/>
      <c r="C87" s="30"/>
      <c r="D87" s="30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1"/>
      <c r="AL87" s="1"/>
      <c r="AM87" s="1"/>
      <c r="AN87" s="1"/>
      <c r="AO87" s="1"/>
    </row>
    <row r="88" spans="1:41" ht="32.25" thickBot="1" x14ac:dyDescent="0.3">
      <c r="A88" s="1"/>
      <c r="B88" s="9" t="s">
        <v>21</v>
      </c>
      <c r="C88" s="21"/>
      <c r="D88" s="21"/>
      <c r="E88" s="11" t="s">
        <v>22</v>
      </c>
      <c r="F88" s="24" t="s">
        <v>23</v>
      </c>
      <c r="G88" s="28" t="s">
        <v>24</v>
      </c>
      <c r="H88" s="2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6.5" thickBot="1" x14ac:dyDescent="0.3">
      <c r="A89" s="1"/>
      <c r="B89" s="9" t="s">
        <v>25</v>
      </c>
      <c r="C89" s="21"/>
      <c r="D89" s="21"/>
      <c r="E89" s="10"/>
      <c r="F89" s="23"/>
      <c r="G89" s="55"/>
      <c r="H89" s="56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32.25" thickBot="1" x14ac:dyDescent="0.3">
      <c r="A90" s="1"/>
      <c r="B90" s="9" t="s">
        <v>26</v>
      </c>
      <c r="C90" s="21"/>
      <c r="D90" s="21"/>
      <c r="E90" s="11"/>
      <c r="F90" s="24"/>
      <c r="G90" s="57"/>
      <c r="H90" s="5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6.5" thickBot="1" x14ac:dyDescent="0.3">
      <c r="A91" s="1"/>
      <c r="B91" s="9" t="s">
        <v>27</v>
      </c>
      <c r="C91" s="21"/>
      <c r="D91" s="21"/>
      <c r="E91" s="12"/>
      <c r="F91" s="25"/>
      <c r="G91" s="59"/>
      <c r="H91" s="60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5.75" x14ac:dyDescent="0.25">
      <c r="A92" s="1"/>
      <c r="B92" s="61" t="s">
        <v>28</v>
      </c>
      <c r="C92" s="19"/>
      <c r="D92" s="19"/>
      <c r="E92" s="64"/>
      <c r="F92" s="67"/>
      <c r="G92" s="70"/>
      <c r="H92" s="7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5.75" x14ac:dyDescent="0.25">
      <c r="A93" s="1"/>
      <c r="B93" s="62"/>
      <c r="C93" s="20"/>
      <c r="D93" s="20"/>
      <c r="E93" s="65"/>
      <c r="F93" s="68"/>
      <c r="G93" s="70"/>
      <c r="H93" s="7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6.5" thickBot="1" x14ac:dyDescent="0.3">
      <c r="A94" s="1"/>
      <c r="B94" s="63"/>
      <c r="C94" s="9"/>
      <c r="D94" s="9"/>
      <c r="E94" s="66"/>
      <c r="F94" s="69"/>
      <c r="G94" s="72"/>
      <c r="H94" s="73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x14ac:dyDescent="0.25">
      <c r="A95" s="1"/>
      <c r="B95" s="2"/>
      <c r="C95" s="2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x14ac:dyDescent="0.25">
      <c r="A96" s="1"/>
      <c r="B96" s="2"/>
      <c r="C96" s="2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x14ac:dyDescent="0.25">
      <c r="A97" s="1"/>
      <c r="B97" s="2"/>
      <c r="C97" s="2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x14ac:dyDescent="0.25">
      <c r="A98" s="1"/>
      <c r="B98" s="2"/>
      <c r="C98" s="2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x14ac:dyDescent="0.25">
      <c r="A99" s="1"/>
      <c r="B99" s="2"/>
      <c r="C99" s="2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x14ac:dyDescent="0.25">
      <c r="A100" s="1"/>
      <c r="B100" s="2"/>
      <c r="C100" s="2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x14ac:dyDescent="0.25">
      <c r="A101" s="1"/>
      <c r="B101" s="2"/>
      <c r="C101" s="2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x14ac:dyDescent="0.25">
      <c r="A102" s="1"/>
      <c r="B102" s="2"/>
      <c r="C102" s="2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</sheetData>
  <mergeCells count="24">
    <mergeCell ref="G89:H89"/>
    <mergeCell ref="G90:H90"/>
    <mergeCell ref="G91:H91"/>
    <mergeCell ref="B92:B94"/>
    <mergeCell ref="E92:E94"/>
    <mergeCell ref="F92:F94"/>
    <mergeCell ref="G92:H94"/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</mergeCells>
  <conditionalFormatting sqref="AK11:AK85">
    <cfRule type="cellIs" dxfId="2" priority="1" operator="greaterThan">
      <formula>#REF!</formula>
    </cfRule>
    <cfRule type="cellIs" dxfId="1" priority="2" operator="between">
      <formula>11</formula>
      <formula>50</formula>
    </cfRule>
    <cfRule type="cellIs" dxfId="0" priority="3" operator="lessThan">
      <formula>#REF!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Jan 2026</vt:lpstr>
      <vt:lpstr>Feb 2026</vt:lpstr>
      <vt:lpstr>March 2026</vt:lpstr>
      <vt:lpstr>April 2026</vt:lpstr>
      <vt:lpstr>'Jan 2026'!_Hlk122640495</vt:lpstr>
      <vt:lpstr>'March 2026'!_Hlk122640495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2026-04-20T10:29:45Z</dcterms:modified>
  <cp:category/>
  <cp:contentStatus/>
</cp:coreProperties>
</file>